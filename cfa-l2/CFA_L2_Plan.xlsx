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emana tipo" sheetId="2" state="visible" r:id="rId4"/>
    <sheet name="Calendario" sheetId="3" state="visible" r:id="rId5"/>
    <sheet name="Temas" sheetId="4" state="visible" r:id="rId6"/>
    <sheet name="Registro" sheetId="5" state="visible" r:id="rId7"/>
    <sheet name="Errores" sheetId="6" state="visible" r:id="rId8"/>
    <sheet name="Semana actual" sheetId="7" state="visible" r:id="rId9"/>
    <sheet name="Regl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<sst xmlns="http://schemas.openxmlformats.org/spreadsheetml/2006/main" count="381" uniqueCount="204">
  <si>
    <t xml:space="preserve">CFA Nivel 2 – Panel de control</t>
  </si>
  <si>
    <t xml:space="preserve">Celdas amarillas con texto azul = las editas tú. El resto se calcula solo.</t>
  </si>
  <si>
    <t xml:space="preserve">Inicio del plan (lunes semana 1)</t>
  </si>
  <si>
    <t xml:space="preserve">Dato tuyo: hoy es 26-oct-2026</t>
  </si>
  <si>
    <t xml:space="preserve">Fecha del examen</t>
  </si>
  <si>
    <t xml:space="preserve">SUPUESTO (mediados de mayo): confirmar y cambiar</t>
  </si>
  <si>
    <t xml:space="preserve">Hoy</t>
  </si>
  <si>
    <t xml:space="preserve">Semana actual del plan</t>
  </si>
  <si>
    <t xml:space="preserve">Semanas que faltan para el examen</t>
  </si>
  <si>
    <t xml:space="preserve">Minutos por bloque</t>
  </si>
  <si>
    <t xml:space="preserve">2 pomodoros de 40 min + 5 min de pausa; celular fuera de la pieza</t>
  </si>
  <si>
    <t xml:space="preserve">Bloques ideales por semana</t>
  </si>
  <si>
    <t xml:space="preserve">Mar–Jue noche 4, Vie 2, Sáb 2, Dom 2</t>
  </si>
  <si>
    <t xml:space="preserve">Bloques mínimos por semana</t>
  </si>
  <si>
    <t xml:space="preserve">Bajo esto, solo núcleo (leer/ejercicios) y errores</t>
  </si>
  <si>
    <t xml:space="preserve">Deuda que obliga a correr el calendario</t>
  </si>
  <si>
    <t xml:space="preserve">Regla: &gt; 6 bloques de deuda = correr 1 semana</t>
  </si>
  <si>
    <t xml:space="preserve">Máx. bloques de deuda recuperables por semana</t>
  </si>
  <si>
    <t xml:space="preserve">Con transporte, sábado largo o domingo libre</t>
  </si>
  <si>
    <t xml:space="preserve">Horas por bloque</t>
  </si>
  <si>
    <t xml:space="preserve">Avance acumulado</t>
  </si>
  <si>
    <t xml:space="preserve">Bloques planeados (semanas ya registradas)</t>
  </si>
  <si>
    <t xml:space="preserve">Bloques hechos</t>
  </si>
  <si>
    <t xml:space="preserve">Deuda actual de bloques</t>
  </si>
  <si>
    <t xml:space="preserve">Horas de estudio acumuladas</t>
  </si>
  <si>
    <t xml:space="preserve">Cumplimiento acumulado</t>
  </si>
  <si>
    <t xml:space="preserve">Estado</t>
  </si>
  <si>
    <t xml:space="preserve">Mensaje</t>
  </si>
  <si>
    <t xml:space="preserve">Semana tipo (10 bloques de 90 min)</t>
  </si>
  <si>
    <t xml:space="preserve">Bloque = 2 pomodoros (40' foco + 5' pausa). Transporte = lectura/subrayado en papel, sentado; es extra y no cuenta como bloque.</t>
  </si>
  <si>
    <t xml:space="preserve">Día</t>
  </si>
  <si>
    <t xml:space="preserve">Franja</t>
  </si>
  <si>
    <t xml:space="preserve">Dónde</t>
  </si>
  <si>
    <t xml:space="preserve">Bloque(s)</t>
  </si>
  <si>
    <t xml:space="preserve">Qué hacer</t>
  </si>
  <si>
    <t xml:space="preserve">Nº bloques</t>
  </si>
  <si>
    <t xml:space="preserve">Lunes</t>
  </si>
  <si>
    <t xml:space="preserve">06:45–08:00 / 17:30–18:30</t>
  </si>
  <si>
    <t xml:space="preserve">Transporte</t>
  </si>
  <si>
    <t xml:space="preserve">T (lectura)</t>
  </si>
  <si>
    <t xml:space="preserve">Leer y subrayar con lápiz en el libro Schweser del tema actual</t>
  </si>
  <si>
    <t xml:space="preserve">20:00–21:30</t>
  </si>
  <si>
    <t xml:space="preserve">Casa (escritorio CFA)</t>
  </si>
  <si>
    <t xml:space="preserve">R</t>
  </si>
  <si>
    <t xml:space="preserve">Resumir lo subrayado del transporte (tope ~8–10 págs por tema)</t>
  </si>
  <si>
    <t xml:space="preserve">Martes</t>
  </si>
  <si>
    <t xml:space="preserve">Leer y subrayar</t>
  </si>
  <si>
    <t xml:space="preserve">Casa</t>
  </si>
  <si>
    <t xml:space="preserve">Seguir resumiendo + fórmulas con calculadora BA II Plus</t>
  </si>
  <si>
    <t xml:space="preserve">Miércoles</t>
  </si>
  <si>
    <t xml:space="preserve">Q</t>
  </si>
  <si>
    <t xml:space="preserve">Ejercicios del tema (vignettes) + registro de errores</t>
  </si>
  <si>
    <t xml:space="preserve">Jueves</t>
  </si>
  <si>
    <t xml:space="preserve">Ejercicios + Simulador de errores; cerrar la semana de errores</t>
  </si>
  <si>
    <t xml:space="preserve">Viernes</t>
  </si>
  <si>
    <t xml:space="preserve">15:00–18:30</t>
  </si>
  <si>
    <t xml:space="preserve">L + Q</t>
  </si>
  <si>
    <t xml:space="preserve">Bloque fuerte (Samexid opcional según tu médico): lo más difícil + ejercicios</t>
  </si>
  <si>
    <t xml:space="preserve">Viernes noche</t>
  </si>
  <si>
    <t xml:space="preserve">—</t>
  </si>
  <si>
    <t xml:space="preserve">Casa de tu polola</t>
  </si>
  <si>
    <t xml:space="preserve">Descanso total</t>
  </si>
  <si>
    <t xml:space="preserve">Sábado</t>
  </si>
  <si>
    <t xml:space="preserve">09:00–12:00</t>
  </si>
  <si>
    <t xml:space="preserve">L + R</t>
  </si>
  <si>
    <t xml:space="preserve">Leer/subrayar lo pendiente + resumir</t>
  </si>
  <si>
    <t xml:space="preserve">Domingo</t>
  </si>
  <si>
    <t xml:space="preserve">16:00–19:30</t>
  </si>
  <si>
    <t xml:space="preserve">V + F</t>
  </si>
  <si>
    <t xml:space="preserve">Repaso espaciado (errores + Ética 1 h) + Feynman / detector de brechas; planificar semana</t>
  </si>
  <si>
    <t xml:space="preserve">Total bloques / semana</t>
  </si>
  <si>
    <t xml:space="preserve">Claves: L = leer y subrayar · R = resumir · Q = ejercicios + errores · V = repaso espaciado y Ética · F = Feynman / detector de brechas · T = transporte.</t>
  </si>
  <si>
    <t xml:space="preserve">Sueño: despertar 6:00. Tu rango actual (23:00–1:00) deja 5–7 h; apunta a acostarte antes de 23:30 entre semana.</t>
  </si>
  <si>
    <t xml:space="preserve">Calendario de 29 semanas</t>
  </si>
  <si>
    <t xml:space="preserve">Escribe en 'Bloques plan' si cambia tu semana y en 'Bloques hechos' al cerrar el domingo. Deuda y estado se calculan solos.</t>
  </si>
  <si>
    <t xml:space="preserve">Sem</t>
  </si>
  <si>
    <t xml:space="preserve">Inicio (lun)</t>
  </si>
  <si>
    <t xml:space="preserve">Fin (dom)</t>
  </si>
  <si>
    <t xml:space="preserve">Tema</t>
  </si>
  <si>
    <t xml:space="preserve">Fase</t>
  </si>
  <si>
    <t xml:space="preserve">Colchón</t>
  </si>
  <si>
    <t xml:space="preserve">Bloques plan</t>
  </si>
  <si>
    <t xml:space="preserve">Dif.</t>
  </si>
  <si>
    <t xml:space="preserve">Deuda acum.</t>
  </si>
  <si>
    <t xml:space="preserve">Cumpl.</t>
  </si>
  <si>
    <t xml:space="preserve">Notas</t>
  </si>
  <si>
    <t xml:space="preserve">Quant</t>
  </si>
  <si>
    <t xml:space="preserve">Setup + 1ª pasada</t>
  </si>
  <si>
    <t xml:space="preserve">No</t>
  </si>
  <si>
    <t xml:space="preserve">Fin de semana 31-oct/1-nov = cumpleaños de tu polola (0 bloques Sáb/Dom). Setup: escritorio, calendario, diagnóstico y repaso L1 de Quant</t>
  </si>
  <si>
    <t xml:space="preserve">1ª pasada</t>
  </si>
  <si>
    <t xml:space="preserve">Economía</t>
  </si>
  <si>
    <t xml:space="preserve">Tu tema más débil en el L1: repasa tu resumen L1 en el primer bloque</t>
  </si>
  <si>
    <t xml:space="preserve">FSA</t>
  </si>
  <si>
    <t xml:space="preserve">Matrimonio sáb 5-dic (−2 bloques), por confirmar</t>
  </si>
  <si>
    <t xml:space="preserve">Matrimonio sáb 12-dic (−2 bloques), por confirmar. Mar 8-dic feriado (confirmar)</t>
  </si>
  <si>
    <t xml:space="preserve">Corporate Issuers</t>
  </si>
  <si>
    <t xml:space="preserve">Sí</t>
  </si>
  <si>
    <t xml:space="preserve">Navidad (vie 25-dic): semana liviana, absorbe deuda</t>
  </si>
  <si>
    <t xml:space="preserve">Equity</t>
  </si>
  <si>
    <t xml:space="preserve">Año Nuevo: semana liviana</t>
  </si>
  <si>
    <t xml:space="preserve">1ª pasada + chequeo</t>
  </si>
  <si>
    <t xml:space="preserve">Chequeo intermedio: ¿Quant, Econ, FSA, CI y Equity ≥ 65%?</t>
  </si>
  <si>
    <t xml:space="preserve">Renta Fija</t>
  </si>
  <si>
    <t xml:space="preserve">Febrero: viaje con tu polola por definir (ajustar bloques de la semana que corresponda)</t>
  </si>
  <si>
    <t xml:space="preserve">Derivados</t>
  </si>
  <si>
    <t xml:space="preserve">Febrero: viaje por definir</t>
  </si>
  <si>
    <t xml:space="preserve">Alternativos</t>
  </si>
  <si>
    <t xml:space="preserve">Portafolio</t>
  </si>
  <si>
    <t xml:space="preserve">Fin: sáb 28-mar = decisión mayo o noviembre</t>
  </si>
  <si>
    <t xml:space="preserve">Todos</t>
  </si>
  <si>
    <t xml:space="preserve">2ª pasada + QBank mixto</t>
  </si>
  <si>
    <t xml:space="preserve">Vie 2-abr feriado Semana Santa (confirmar): bloque extra posible</t>
  </si>
  <si>
    <t xml:space="preserve">Mock 1 + análisis</t>
  </si>
  <si>
    <t xml:space="preserve">Mock 2 + análisis</t>
  </si>
  <si>
    <t xml:space="preserve">Mock 3 + análisis</t>
  </si>
  <si>
    <t xml:space="preserve">Repaso liviano, sin material nuevo</t>
  </si>
  <si>
    <t xml:space="preserve">Examen</t>
  </si>
  <si>
    <t xml:space="preserve">Descanso + examen</t>
  </si>
  <si>
    <t xml:space="preserve">Semana del examen (fecha por confirmar)</t>
  </si>
  <si>
    <t xml:space="preserve">Supuestos propios: semana 1 = 6 bloques por el cumpleaños; semanas 6, 7, 9 y 10 reducidas por matrimonios y fiestas; feriados y viaje de febrero por confirmar. Fechas del examen: por confirmar.</t>
  </si>
  <si>
    <t xml:space="preserve">Temas: plan y avance</t>
  </si>
  <si>
    <t xml:space="preserve">Avance por tema = 35% leído/subrayado + 20% resumen + 45% ejercicios. Desempeño L1 = lectura aproximada de tu gráfico de feb-2025.</t>
  </si>
  <si>
    <t xml:space="preserve">Desempeño L1</t>
  </si>
  <si>
    <t xml:space="preserve">Prioridad</t>
  </si>
  <si>
    <t xml:space="preserve">Horas plan</t>
  </si>
  <si>
    <t xml:space="preserve">Bloques</t>
  </si>
  <si>
    <t xml:space="preserve">Sem. inicio</t>
  </si>
  <si>
    <t xml:space="preserve">Sem. fin</t>
  </si>
  <si>
    <t xml:space="preserve">Fecha inicio</t>
  </si>
  <si>
    <t xml:space="preserve">Fecha fin</t>
  </si>
  <si>
    <t xml:space="preserve">Repaso L1 hecho</t>
  </si>
  <si>
    <t xml:space="preserve">Leído / subrayado %</t>
  </si>
  <si>
    <t xml:space="preserve">Resumen %</t>
  </si>
  <si>
    <t xml:space="preserve">QBank %</t>
  </si>
  <si>
    <t xml:space="preserve">Feynman</t>
  </si>
  <si>
    <t xml:space="preserve">Brechas</t>
  </si>
  <si>
    <t xml:space="preserve">Puntaje prom. registro</t>
  </si>
  <si>
    <t xml:space="preserve">Avance</t>
  </si>
  <si>
    <t xml:space="preserve">Ética</t>
  </si>
  <si>
    <t xml:space="preserve">Alto</t>
  </si>
  <si>
    <t xml:space="preserve">Media</t>
  </si>
  <si>
    <t xml:space="preserve">Normal</t>
  </si>
  <si>
    <t xml:space="preserve">Bajo (el más débil)</t>
  </si>
  <si>
    <t xml:space="preserve">Alta</t>
  </si>
  <si>
    <t xml:space="preserve">Medio</t>
  </si>
  <si>
    <t xml:space="preserve">Muy alto</t>
  </si>
  <si>
    <t xml:space="preserve">Total</t>
  </si>
  <si>
    <t xml:space="preserve">Ética va en goteo de 1 h/semana (semanas 1–22) y se refuerza en la fase final. Horas por tema son supuestos míos (Economía +, Derivados −); ajústalos.</t>
  </si>
  <si>
    <t xml:space="preserve">Registro de ejercicios y mocks</t>
  </si>
  <si>
    <t xml:space="preserve">La fila 5 es un ejemplo (se ignora: bórrala o sobrescríbela). Los promedios por tema van a la hoja Temas.</t>
  </si>
  <si>
    <t xml:space="preserve">Fecha</t>
  </si>
  <si>
    <t xml:space="preserve">Tipo</t>
  </si>
  <si>
    <t xml:space="preserve">Puntaje %</t>
  </si>
  <si>
    <t xml:space="preserve">Nº preguntas</t>
  </si>
  <si>
    <t xml:space="preserve">QBank</t>
  </si>
  <si>
    <t xml:space="preserve">EJEMPLO: fallé monetary/fiscal; pasa al registro de errores</t>
  </si>
  <si>
    <t xml:space="preserve">Registro de errores (tu 'Secret Sauce' personal)</t>
  </si>
  <si>
    <t xml:space="preserve">Cada error = 1 fila. Repasar a los 7 y a los 21 días. La fila 5 es un ejemplo.</t>
  </si>
  <si>
    <t xml:space="preserve">Concepto / LOS</t>
  </si>
  <si>
    <t xml:space="preserve">Qué respondí</t>
  </si>
  <si>
    <t xml:space="preserve">Tipo de error</t>
  </si>
  <si>
    <t xml:space="preserve">Regla correcta</t>
  </si>
  <si>
    <t xml:space="preserve">Repaso 1 (+7d)</t>
  </si>
  <si>
    <t xml:space="preserve">Repaso 2 (+21d)</t>
  </si>
  <si>
    <t xml:space="preserve">Política fiscal vs monetaria</t>
  </si>
  <si>
    <t xml:space="preserve">Elegí la tasa de interés como herramienta fiscal</t>
  </si>
  <si>
    <t xml:space="preserve">Concepto</t>
  </si>
  <si>
    <t xml:space="preserve">La fiscal usa gasto e impuestos; la monetaria, tasa y reservas (ejemplo)</t>
  </si>
  <si>
    <t xml:space="preserve">Semana actual: lo que planeaste vs lo que hiciste</t>
  </si>
  <si>
    <t xml:space="preserve">Si algo se cae, cambia el plan del día y escribe en 'Mover a' dónde recuperas el bloque (o avísame y reacomodo).</t>
  </si>
  <si>
    <t xml:space="preserve">Lunes de la semana:</t>
  </si>
  <si>
    <t xml:space="preserve">Se calcula solo desde el panel; sobrescríbela para revisar otra semana.</t>
  </si>
  <si>
    <t xml:space="preserve">Bloque(s) plan</t>
  </si>
  <si>
    <t xml:space="preserve">Plan</t>
  </si>
  <si>
    <t xml:space="preserve">Hecho</t>
  </si>
  <si>
    <t xml:space="preserve">Tramos transporte (0–2)</t>
  </si>
  <si>
    <t xml:space="preserve">Mover a (día)</t>
  </si>
  <si>
    <t xml:space="preserve">Nota</t>
  </si>
  <si>
    <t xml:space="preserve">Totales</t>
  </si>
  <si>
    <t xml:space="preserve">Plan en Calendario para esta semana</t>
  </si>
  <si>
    <t xml:space="preserve">Cumplimiento de la semana</t>
  </si>
  <si>
    <t xml:space="preserve">Perfil, método y reglas de reacomodo</t>
  </si>
  <si>
    <t xml:space="preserve">PERFIL (dato tuyo)</t>
  </si>
  <si>
    <t xml:space="preserve">Ingeniería Comercial UC, FP&amp;A en aseguradora de vida. Nivel 1 aprobado feb-2025 (1710 vs MPS 1600). Vives con tus padres. Polola: vie noche a dom mediodía.</t>
  </si>
  <si>
    <t xml:space="preserve">Trabajo L–J 8:00–17:30, Vie hasta 14:00. Transporte sentado, puedes leer. Mejor estudiar tras una pausa de comida. Samexid con conocimiento de tu médico.</t>
  </si>
  <si>
    <t xml:space="preserve">Material: Schweser impresos (2025 o 2026), mocks oficiales descargados, calculadora BA II Plus. Aprendes mejor escribiendo, leyendo y viendo ejercicios resueltos.</t>
  </si>
  <si>
    <t xml:space="preserve">MÉTODO POR TEMA</t>
  </si>
  <si>
    <t xml:space="preserve">1) Repaso L1 con tu propio resumen (1 bloque). 2) Leer y subrayar (transporte). 3) Resumir lo subrayado. 4) Ejercicios y registro de errores. 5) Feynman + detector de brechas al cerrar.</t>
  </si>
  <si>
    <t xml:space="preserve">REGLAS</t>
  </si>
  <si>
    <t xml:space="preserve">1</t>
  </si>
  <si>
    <t xml:space="preserve">Avísame qué día u horas se caen y cuáles quedan libres; reordeno la semana.</t>
  </si>
  <si>
    <t xml:space="preserve">2</t>
  </si>
  <si>
    <t xml:space="preserve">Bloque perdido = deuda. Orden de sacrificio: Ética, Feynman/brechas, repaso, resumen más corto. El núcleo (leer y ejercicios) no se sacrifica.</t>
  </si>
  <si>
    <t xml:space="preserve">3</t>
  </si>
  <si>
    <t xml:space="preserve">Máx. 2 bloques en un día de semana. Hasta 3 en fin de semana.</t>
  </si>
  <si>
    <t xml:space="preserve">4</t>
  </si>
  <si>
    <t xml:space="preserve">Recuperas hasta 3 bloques de deuda por semana; el resto va a las semanas colchón (9, 12, 15, 19).</t>
  </si>
  <si>
    <t xml:space="preserve">5</t>
  </si>
  <si>
    <t xml:space="preserve">Deuda &gt; 6 bloques: corre el calendario 1 semana. Corrimiento &gt; 2 semanas antes del 28-mar: se evalúa pasar a noviembre.</t>
  </si>
  <si>
    <t xml:space="preserve">6</t>
  </si>
  <si>
    <t xml:space="preserve">Semana con menos de 7 bloques: solo núcleo y errores. Mala noche o enfermedad: se salta, no se compensa ese mismo día.</t>
  </si>
  <si>
    <t xml:space="preserve">7</t>
  </si>
  <si>
    <t xml:space="preserve">Decisión mayo/noviembre el 28-mar: ≥ 65–70% en QBank y 10 temas vistos = mayo.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</si>
</sst>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0.0"/>
    <numFmt numFmtId="168" formatCode="0%"/>
    <numFmt numFmtId="169" formatCode="@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46321</v>
      </c>
      <c r="C4" s="2" t="s">
        <v>3</v>
      </c>
    </row>
    <row r="5" customFormat="false" ht="15" hidden="false" customHeight="false" outlineLevel="0" collapsed="false">
      <c r="A5" s="3" t="s">
        <v>4</v>
      </c>
      <c r="B5" s="4" t="n">
        <v>46522</v>
      </c>
      <c r="C5" s="2" t="s">
        <v>5</v>
      </c>
    </row>
    <row r="6" customFormat="false" ht="15" hidden="false" customHeight="false" outlineLevel="0" collapsed="false">
      <c r="A6" s="3" t="s">
        <v>6</v>
      </c>
      <c r="B6" s="5" t="n">
        <f aca="true">TODAY()</f>
        <v>46321</v>
      </c>
      <c r="C6" s="2"/>
    </row>
    <row r="7" customFormat="false" ht="15" hidden="false" customHeight="false" outlineLevel="0" collapsed="false">
      <c r="A7" s="3" t="s">
        <v>7</v>
      </c>
      <c r="B7" s="6" t="n">
        <f aca="false">MAX(1,MIN(29,INT((B6-B4)/7)+1))</f>
        <v>1</v>
      </c>
      <c r="C7" s="2"/>
    </row>
    <row r="8" customFormat="false" ht="15" hidden="false" customHeight="false" outlineLevel="0" collapsed="false">
      <c r="A8" s="3" t="s">
        <v>8</v>
      </c>
      <c r="B8" s="6" t="n">
        <f aca="false">MAX(0,INT((B5-B6)/7))</f>
        <v>28</v>
      </c>
      <c r="C8" s="2"/>
    </row>
    <row r="9" customFormat="false" ht="15" hidden="false" customHeight="false" outlineLevel="0" collapsed="false">
      <c r="A9" s="3" t="s">
        <v>9</v>
      </c>
      <c r="B9" s="7" t="n">
        <v>90</v>
      </c>
      <c r="C9" s="2" t="s">
        <v>10</v>
      </c>
    </row>
    <row r="10" customFormat="false" ht="15" hidden="false" customHeight="false" outlineLevel="0" collapsed="false">
      <c r="A10" s="3" t="s">
        <v>11</v>
      </c>
      <c r="B10" s="7" t="n">
        <v>10</v>
      </c>
      <c r="C10" s="2" t="s">
        <v>12</v>
      </c>
    </row>
    <row r="11" customFormat="false" ht="15" hidden="false" customHeight="false" outlineLevel="0" collapsed="false">
      <c r="A11" s="3" t="s">
        <v>13</v>
      </c>
      <c r="B11" s="7" t="n">
        <v>7</v>
      </c>
      <c r="C11" s="2" t="s">
        <v>14</v>
      </c>
    </row>
    <row r="12" customFormat="false" ht="15" hidden="false" customHeight="false" outlineLevel="0" collapsed="false">
      <c r="A12" s="3" t="s">
        <v>15</v>
      </c>
      <c r="B12" s="7" t="n">
        <v>6</v>
      </c>
      <c r="C12" s="2" t="s">
        <v>16</v>
      </c>
    </row>
    <row r="13" customFormat="false" ht="15" hidden="false" customHeight="false" outlineLevel="0" collapsed="false">
      <c r="A13" s="3" t="s">
        <v>17</v>
      </c>
      <c r="B13" s="7" t="n">
        <v>3</v>
      </c>
      <c r="C13" s="2" t="s">
        <v>18</v>
      </c>
    </row>
    <row r="14" customFormat="false" ht="15" hidden="false" customHeight="false" outlineLevel="0" collapsed="false">
      <c r="A14" s="3" t="s">
        <v>19</v>
      </c>
      <c r="B14" s="8" t="n">
        <f aca="false">B9/60</f>
        <v>1.5</v>
      </c>
      <c r="C14" s="2"/>
    </row>
    <row r="16" customFormat="false" ht="15" hidden="false" customHeight="false" outlineLevel="0" collapsed="false">
      <c r="A16" s="9" t="s">
        <v>20</v>
      </c>
    </row>
    <row r="17" customFormat="false" ht="15" hidden="false" customHeight="false" outlineLevel="0" collapsed="false">
      <c r="A17" s="3" t="s">
        <v>21</v>
      </c>
      <c r="B17" s="10" t="n">
        <f aca="false">SUMPRODUCT((Calendario!$H$5:$H$33&lt;&gt;"")*Calendario!$G$5:$G$33)</f>
        <v>0</v>
      </c>
    </row>
    <row r="18" customFormat="false" ht="15" hidden="false" customHeight="false" outlineLevel="0" collapsed="false">
      <c r="A18" s="3" t="s">
        <v>22</v>
      </c>
      <c r="B18" s="10" t="n">
        <f aca="false">SUM(Calendario!$H$5:$H$33)</f>
        <v>0</v>
      </c>
    </row>
    <row r="19" customFormat="false" ht="15" hidden="false" customHeight="false" outlineLevel="0" collapsed="false">
      <c r="A19" s="3" t="s">
        <v>23</v>
      </c>
      <c r="B19" s="10" t="n">
        <f aca="false">MAX(0,B17-B18)</f>
        <v>0</v>
      </c>
    </row>
    <row r="20" customFormat="false" ht="15" hidden="false" customHeight="false" outlineLevel="0" collapsed="false">
      <c r="A20" s="3" t="s">
        <v>24</v>
      </c>
      <c r="B20" s="11" t="n">
        <f aca="false">B18*B14</f>
        <v>0</v>
      </c>
    </row>
    <row r="21" customFormat="false" ht="15" hidden="false" customHeight="false" outlineLevel="0" collapsed="false">
      <c r="A21" s="3" t="s">
        <v>25</v>
      </c>
      <c r="B21" s="12" t="str">
        <f aca="false">IF(B17=0,"",B18/B17)</f>
        <v/>
      </c>
    </row>
    <row r="22" customFormat="false" ht="15" hidden="false" customHeight="false" outlineLevel="0" collapsed="false">
      <c r="A22" s="3" t="s">
        <v>26</v>
      </c>
      <c r="B22" s="13" t="str">
        <f aca="false">IF(B17=0,"Sin datos aún",IF(B19&gt;B12,"CORRER CALENDARIO",IF(B19&gt;3,"ALERTA","EN RUTA")))</f>
        <v>Sin datos aún</v>
      </c>
    </row>
    <row r="24" customFormat="false" ht="15" hidden="false" customHeight="false" outlineLevel="0" collapsed="false">
      <c r="A24" s="9" t="s">
        <v>27</v>
      </c>
    </row>
    <row r="25" customFormat="false" ht="15" hidden="false" customHeight="false" outlineLevel="0" collapsed="false">
      <c r="A25" s="14" t="str">
        <f aca="false">IF(B22="CORRER CALENDARIO","Estás corriendo el calendario. Séneca: «No es que tengamos poco tiempo, sino que perdemos mucho». Cada bloque perdido es potencial que se queda sin usar: la charter te abre FP&amp;A senior, riesgo, portafolio. Hoy mismo recuperas 2 bloques y me avisas.",IF(B22="ALERTA","Vas atrasado, todavía a tiempo. Marco Aurelio: «Lo que se interpone en el camino se convierte en el camino». Recupera esta semana hasta 3 bloques y no sacrifiques los de núcleo.",IF(B22="EN RUTA","En ruta. La disciplina de hoy es la libertad de tu yo de mayo. Sigue el plan, sin heroísmos.","Parte registrando la semana 1 en Calendario.")))</f>
        <v>Parte registrando la semana 1 en Calendario.</v>
      </c>
      <c r="B25" s="14"/>
      <c r="C25" s="14"/>
    </row>
    <row r="26" customFormat="false" ht="15" hidden="false" customHeight="false" outlineLevel="0" collapsed="false">
      <c r="A26" s="14"/>
      <c r="B26" s="14"/>
      <c r="C26" s="14"/>
    </row>
    <row r="27" customFormat="false" ht="15" hidden="false" customHeight="false" outlineLevel="0" collapsed="false">
      <c r="A27" s="14"/>
      <c r="B27" s="14"/>
      <c r="C27" s="14"/>
    </row>
  </sheetData>
  <mergeCells count="1">
    <mergeCell ref="A25:C27"/>
  </mergeCells>
  <conditionalFormatting sqref="B22">
    <cfRule type="expression" priority="2" aboveAverage="0" equalAverage="0" bottom="0" percent="0" rank="0" text="" dxfId="0">
      <formula>$B$22="EN RUTA"</formula>
    </cfRule>
    <cfRule type="expression" priority="3" aboveAverage="0" equalAverage="0" bottom="0" percent="0" rank="0" text="" dxfId="1">
      <formula>$B$22="ALERTA"</formula>
    </cfRule>
    <cfRule type="expression" priority="4" aboveAverage="0" equalAverage="0" bottom="0" percent="0" rank="0" text="" dxfId="2">
      <formula>$B$22="CORRER CALENDARIO"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62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15" t="s">
        <v>30</v>
      </c>
      <c r="B4" s="15" t="s">
        <v>31</v>
      </c>
      <c r="C4" s="15" t="s">
        <v>32</v>
      </c>
      <c r="D4" s="15" t="s">
        <v>33</v>
      </c>
      <c r="E4" s="15" t="s">
        <v>34</v>
      </c>
      <c r="F4" s="15" t="s">
        <v>35</v>
      </c>
    </row>
    <row r="5" customFormat="false" ht="23.85" hidden="false" customHeight="false" outlineLevel="0" collapsed="false">
      <c r="A5" s="16" t="s">
        <v>36</v>
      </c>
      <c r="B5" s="16" t="s">
        <v>37</v>
      </c>
      <c r="C5" s="16" t="s">
        <v>38</v>
      </c>
      <c r="D5" s="16" t="s">
        <v>39</v>
      </c>
      <c r="E5" s="16" t="s">
        <v>40</v>
      </c>
      <c r="F5" s="16" t="n">
        <v>0</v>
      </c>
    </row>
    <row r="6" customFormat="false" ht="15" hidden="false" customHeight="false" outlineLevel="0" collapsed="false">
      <c r="A6" s="16" t="s">
        <v>36</v>
      </c>
      <c r="B6" s="16" t="s">
        <v>41</v>
      </c>
      <c r="C6" s="16" t="s">
        <v>42</v>
      </c>
      <c r="D6" s="16" t="s">
        <v>43</v>
      </c>
      <c r="E6" s="16" t="s">
        <v>44</v>
      </c>
      <c r="F6" s="16" t="n">
        <v>1</v>
      </c>
    </row>
    <row r="7" customFormat="false" ht="23.85" hidden="false" customHeight="false" outlineLevel="0" collapsed="false">
      <c r="A7" s="16" t="s">
        <v>45</v>
      </c>
      <c r="B7" s="16" t="s">
        <v>37</v>
      </c>
      <c r="C7" s="16" t="s">
        <v>38</v>
      </c>
      <c r="D7" s="16" t="s">
        <v>39</v>
      </c>
      <c r="E7" s="16" t="s">
        <v>46</v>
      </c>
      <c r="F7" s="16" t="n">
        <v>0</v>
      </c>
    </row>
    <row r="8" customFormat="false" ht="15" hidden="false" customHeight="false" outlineLevel="0" collapsed="false">
      <c r="A8" s="16" t="s">
        <v>45</v>
      </c>
      <c r="B8" s="16" t="s">
        <v>41</v>
      </c>
      <c r="C8" s="16" t="s">
        <v>47</v>
      </c>
      <c r="D8" s="16" t="s">
        <v>43</v>
      </c>
      <c r="E8" s="16" t="s">
        <v>48</v>
      </c>
      <c r="F8" s="16" t="n">
        <v>1</v>
      </c>
    </row>
    <row r="9" customFormat="false" ht="23.85" hidden="false" customHeight="false" outlineLevel="0" collapsed="false">
      <c r="A9" s="16" t="s">
        <v>49</v>
      </c>
      <c r="B9" s="16" t="s">
        <v>37</v>
      </c>
      <c r="C9" s="16" t="s">
        <v>38</v>
      </c>
      <c r="D9" s="16" t="s">
        <v>39</v>
      </c>
      <c r="E9" s="16" t="s">
        <v>46</v>
      </c>
      <c r="F9" s="16" t="n">
        <v>0</v>
      </c>
    </row>
    <row r="10" customFormat="false" ht="15" hidden="false" customHeight="false" outlineLevel="0" collapsed="false">
      <c r="A10" s="16" t="s">
        <v>49</v>
      </c>
      <c r="B10" s="16" t="s">
        <v>41</v>
      </c>
      <c r="C10" s="16" t="s">
        <v>47</v>
      </c>
      <c r="D10" s="16" t="s">
        <v>50</v>
      </c>
      <c r="E10" s="16" t="s">
        <v>51</v>
      </c>
      <c r="F10" s="16" t="n">
        <v>1</v>
      </c>
    </row>
    <row r="11" customFormat="false" ht="23.85" hidden="false" customHeight="false" outlineLevel="0" collapsed="false">
      <c r="A11" s="16" t="s">
        <v>52</v>
      </c>
      <c r="B11" s="16" t="s">
        <v>37</v>
      </c>
      <c r="C11" s="16" t="s">
        <v>38</v>
      </c>
      <c r="D11" s="16" t="s">
        <v>39</v>
      </c>
      <c r="E11" s="16" t="s">
        <v>46</v>
      </c>
      <c r="F11" s="16" t="n">
        <v>0</v>
      </c>
    </row>
    <row r="12" customFormat="false" ht="15" hidden="false" customHeight="false" outlineLevel="0" collapsed="false">
      <c r="A12" s="16" t="s">
        <v>52</v>
      </c>
      <c r="B12" s="16" t="s">
        <v>41</v>
      </c>
      <c r="C12" s="16" t="s">
        <v>47</v>
      </c>
      <c r="D12" s="16" t="s">
        <v>50</v>
      </c>
      <c r="E12" s="16" t="s">
        <v>53</v>
      </c>
      <c r="F12" s="16" t="n">
        <v>1</v>
      </c>
    </row>
    <row r="13" customFormat="false" ht="15" hidden="false" customHeight="false" outlineLevel="0" collapsed="false">
      <c r="A13" s="16" t="s">
        <v>54</v>
      </c>
      <c r="B13" s="16" t="s">
        <v>55</v>
      </c>
      <c r="C13" s="16" t="s">
        <v>47</v>
      </c>
      <c r="D13" s="16" t="s">
        <v>56</v>
      </c>
      <c r="E13" s="16" t="s">
        <v>57</v>
      </c>
      <c r="F13" s="16" t="n">
        <v>2</v>
      </c>
    </row>
    <row r="14" customFormat="false" ht="23.85" hidden="false" customHeight="false" outlineLevel="0" collapsed="false">
      <c r="A14" s="16" t="s">
        <v>58</v>
      </c>
      <c r="B14" s="16" t="s">
        <v>59</v>
      </c>
      <c r="C14" s="16" t="s">
        <v>60</v>
      </c>
      <c r="D14" s="16" t="s">
        <v>59</v>
      </c>
      <c r="E14" s="16" t="s">
        <v>61</v>
      </c>
      <c r="F14" s="16" t="n">
        <v>0</v>
      </c>
    </row>
    <row r="15" customFormat="false" ht="15" hidden="false" customHeight="false" outlineLevel="0" collapsed="false">
      <c r="A15" s="16" t="s">
        <v>62</v>
      </c>
      <c r="B15" s="16" t="s">
        <v>63</v>
      </c>
      <c r="C15" s="16" t="s">
        <v>60</v>
      </c>
      <c r="D15" s="16" t="s">
        <v>64</v>
      </c>
      <c r="E15" s="16" t="s">
        <v>65</v>
      </c>
      <c r="F15" s="16" t="n">
        <v>2</v>
      </c>
    </row>
    <row r="16" customFormat="false" ht="23.85" hidden="false" customHeight="false" outlineLevel="0" collapsed="false">
      <c r="A16" s="16" t="s">
        <v>66</v>
      </c>
      <c r="B16" s="16" t="s">
        <v>67</v>
      </c>
      <c r="C16" s="16" t="s">
        <v>47</v>
      </c>
      <c r="D16" s="16" t="s">
        <v>68</v>
      </c>
      <c r="E16" s="16" t="s">
        <v>69</v>
      </c>
      <c r="F16" s="16" t="n">
        <v>2</v>
      </c>
    </row>
    <row r="17" customFormat="false" ht="15" hidden="false" customHeight="false" outlineLevel="0" collapsed="false">
      <c r="E17" s="3" t="s">
        <v>70</v>
      </c>
      <c r="F17" s="17" t="n">
        <f aca="false">SUM(F5:F16)</f>
        <v>10</v>
      </c>
    </row>
    <row r="19" customFormat="false" ht="15" hidden="false" customHeight="false" outlineLevel="0" collapsed="false">
      <c r="A19" s="2" t="s">
        <v>71</v>
      </c>
    </row>
    <row r="20" customFormat="false" ht="15" hidden="false" customHeight="false" outlineLevel="0" collapsed="false">
      <c r="A20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23.85" hidden="false" customHeight="false" outlineLevel="0" collapsed="false">
      <c r="A4" s="15" t="s">
        <v>75</v>
      </c>
      <c r="B4" s="15" t="s">
        <v>76</v>
      </c>
      <c r="C4" s="15" t="s">
        <v>77</v>
      </c>
      <c r="D4" s="15" t="s">
        <v>78</v>
      </c>
      <c r="E4" s="15" t="s">
        <v>79</v>
      </c>
      <c r="F4" s="15" t="s">
        <v>80</v>
      </c>
      <c r="G4" s="15" t="s">
        <v>81</v>
      </c>
      <c r="H4" s="15" t="s">
        <v>22</v>
      </c>
      <c r="I4" s="15" t="s">
        <v>82</v>
      </c>
      <c r="J4" s="15" t="s">
        <v>83</v>
      </c>
      <c r="K4" s="15" t="s">
        <v>84</v>
      </c>
      <c r="L4" s="15" t="s">
        <v>26</v>
      </c>
      <c r="M4" s="15" t="s">
        <v>85</v>
      </c>
    </row>
    <row r="5" customFormat="false" ht="35.05" hidden="false" customHeight="false" outlineLevel="0" collapsed="false">
      <c r="A5" s="18" t="n">
        <v>1</v>
      </c>
      <c r="B5" s="19" t="n">
        <f aca="false">Resumen!$B$4+7*(A5-1)</f>
        <v>46321</v>
      </c>
      <c r="C5" s="19" t="n">
        <f aca="false">B5+6</f>
        <v>46327</v>
      </c>
      <c r="D5" s="18" t="s">
        <v>86</v>
      </c>
      <c r="E5" s="18" t="s">
        <v>87</v>
      </c>
      <c r="F5" s="18" t="s">
        <v>88</v>
      </c>
      <c r="G5" s="20" t="n">
        <v>6</v>
      </c>
      <c r="H5" s="20"/>
      <c r="I5" s="18" t="str">
        <f aca="false">IF(H5="","",H5-G5)</f>
        <v/>
      </c>
      <c r="J5" s="18" t="str">
        <f aca="false">IF(H5="","",MAX(0,N(J4)+G5-H5))</f>
        <v/>
      </c>
      <c r="K5" s="21" t="str">
        <f aca="false">IF(OR(H5="",G5=0),"",H5/G5)</f>
        <v/>
      </c>
      <c r="L5" s="18" t="str">
        <f aca="false">IF(H5="","Pendiente",IF(J5&gt;Resumen!$B$12,"Correr calendario",IF(H5&gt;=G5,"Cumplida",IF(H5&gt;=Resumen!$B$11,"Parcial","Bajo mínimo"))))</f>
        <v>Pendiente</v>
      </c>
      <c r="M5" s="16" t="s">
        <v>89</v>
      </c>
    </row>
    <row r="6" customFormat="false" ht="15" hidden="false" customHeight="false" outlineLevel="0" collapsed="false">
      <c r="A6" s="18" t="n">
        <v>2</v>
      </c>
      <c r="B6" s="19" t="n">
        <f aca="false">Resumen!$B$4+7*(A6-1)</f>
        <v>46328</v>
      </c>
      <c r="C6" s="19" t="n">
        <f aca="false">B6+6</f>
        <v>46334</v>
      </c>
      <c r="D6" s="18" t="s">
        <v>86</v>
      </c>
      <c r="E6" s="18" t="s">
        <v>90</v>
      </c>
      <c r="F6" s="18" t="s">
        <v>88</v>
      </c>
      <c r="G6" s="20" t="n">
        <v>10</v>
      </c>
      <c r="H6" s="20"/>
      <c r="I6" s="18" t="str">
        <f aca="false">IF(H6="","",H6-G6)</f>
        <v/>
      </c>
      <c r="J6" s="18" t="str">
        <f aca="false">IF(H6="","",MAX(0,N(J5)+G6-H6))</f>
        <v/>
      </c>
      <c r="K6" s="21" t="str">
        <f aca="false">IF(OR(H6="",G6=0),"",H6/G6)</f>
        <v/>
      </c>
      <c r="L6" s="18" t="str">
        <f aca="false">IF(H6="","Pendiente",IF(J6&gt;Resumen!$B$12,"Correr calendario",IF(H6&gt;=G6,"Cumplida",IF(H6&gt;=Resumen!$B$11,"Parcial","Bajo mínimo"))))</f>
        <v>Pendiente</v>
      </c>
      <c r="M6" s="16"/>
    </row>
    <row r="7" customFormat="false" ht="15" hidden="false" customHeight="false" outlineLevel="0" collapsed="false">
      <c r="A7" s="18" t="n">
        <v>3</v>
      </c>
      <c r="B7" s="19" t="n">
        <f aca="false">Resumen!$B$4+7*(A7-1)</f>
        <v>46335</v>
      </c>
      <c r="C7" s="19" t="n">
        <f aca="false">B7+6</f>
        <v>46341</v>
      </c>
      <c r="D7" s="18" t="s">
        <v>91</v>
      </c>
      <c r="E7" s="18" t="s">
        <v>90</v>
      </c>
      <c r="F7" s="18" t="s">
        <v>88</v>
      </c>
      <c r="G7" s="20" t="n">
        <v>10</v>
      </c>
      <c r="H7" s="20"/>
      <c r="I7" s="18" t="str">
        <f aca="false">IF(H7="","",H7-G7)</f>
        <v/>
      </c>
      <c r="J7" s="18" t="str">
        <f aca="false">IF(H7="","",MAX(0,N(J6)+G7-H7))</f>
        <v/>
      </c>
      <c r="K7" s="21" t="str">
        <f aca="false">IF(OR(H7="",G7=0),"",H7/G7)</f>
        <v/>
      </c>
      <c r="L7" s="18" t="str">
        <f aca="false">IF(H7="","Pendiente",IF(J7&gt;Resumen!$B$12,"Correr calendario",IF(H7&gt;=G7,"Cumplida",IF(H7&gt;=Resumen!$B$11,"Parcial","Bajo mínimo"))))</f>
        <v>Pendiente</v>
      </c>
      <c r="M7" s="16" t="s">
        <v>92</v>
      </c>
    </row>
    <row r="8" customFormat="false" ht="15" hidden="false" customHeight="false" outlineLevel="0" collapsed="false">
      <c r="A8" s="18" t="n">
        <v>4</v>
      </c>
      <c r="B8" s="19" t="n">
        <f aca="false">Resumen!$B$4+7*(A8-1)</f>
        <v>46342</v>
      </c>
      <c r="C8" s="19" t="n">
        <f aca="false">B8+6</f>
        <v>46348</v>
      </c>
      <c r="D8" s="18" t="s">
        <v>91</v>
      </c>
      <c r="E8" s="18" t="s">
        <v>90</v>
      </c>
      <c r="F8" s="18" t="s">
        <v>88</v>
      </c>
      <c r="G8" s="20" t="n">
        <v>10</v>
      </c>
      <c r="H8" s="20"/>
      <c r="I8" s="18" t="str">
        <f aca="false">IF(H8="","",H8-G8)</f>
        <v/>
      </c>
      <c r="J8" s="18" t="str">
        <f aca="false">IF(H8="","",MAX(0,N(J7)+G8-H8))</f>
        <v/>
      </c>
      <c r="K8" s="21" t="str">
        <f aca="false">IF(OR(H8="",G8=0),"",H8/G8)</f>
        <v/>
      </c>
      <c r="L8" s="18" t="str">
        <f aca="false">IF(H8="","Pendiente",IF(J8&gt;Resumen!$B$12,"Correr calendario",IF(H8&gt;=G8,"Cumplida",IF(H8&gt;=Resumen!$B$11,"Parcial","Bajo mínimo"))))</f>
        <v>Pendiente</v>
      </c>
      <c r="M8" s="16"/>
    </row>
    <row r="9" customFormat="false" ht="15" hidden="false" customHeight="false" outlineLevel="0" collapsed="false">
      <c r="A9" s="18" t="n">
        <v>5</v>
      </c>
      <c r="B9" s="19" t="n">
        <f aca="false">Resumen!$B$4+7*(A9-1)</f>
        <v>46349</v>
      </c>
      <c r="C9" s="19" t="n">
        <f aca="false">B9+6</f>
        <v>46355</v>
      </c>
      <c r="D9" s="18" t="s">
        <v>93</v>
      </c>
      <c r="E9" s="18" t="s">
        <v>90</v>
      </c>
      <c r="F9" s="18" t="s">
        <v>88</v>
      </c>
      <c r="G9" s="20" t="n">
        <v>10</v>
      </c>
      <c r="H9" s="20"/>
      <c r="I9" s="18" t="str">
        <f aca="false">IF(H9="","",H9-G9)</f>
        <v/>
      </c>
      <c r="J9" s="18" t="str">
        <f aca="false">IF(H9="","",MAX(0,N(J8)+G9-H9))</f>
        <v/>
      </c>
      <c r="K9" s="21" t="str">
        <f aca="false">IF(OR(H9="",G9=0),"",H9/G9)</f>
        <v/>
      </c>
      <c r="L9" s="18" t="str">
        <f aca="false">IF(H9="","Pendiente",IF(J9&gt;Resumen!$B$12,"Correr calendario",IF(H9&gt;=G9,"Cumplida",IF(H9&gt;=Resumen!$B$11,"Parcial","Bajo mínimo"))))</f>
        <v>Pendiente</v>
      </c>
      <c r="M9" s="16"/>
    </row>
    <row r="10" customFormat="false" ht="15" hidden="false" customHeight="false" outlineLevel="0" collapsed="false">
      <c r="A10" s="18" t="n">
        <v>6</v>
      </c>
      <c r="B10" s="19" t="n">
        <f aca="false">Resumen!$B$4+7*(A10-1)</f>
        <v>46356</v>
      </c>
      <c r="C10" s="19" t="n">
        <f aca="false">B10+6</f>
        <v>46362</v>
      </c>
      <c r="D10" s="18" t="s">
        <v>93</v>
      </c>
      <c r="E10" s="18" t="s">
        <v>90</v>
      </c>
      <c r="F10" s="18" t="s">
        <v>88</v>
      </c>
      <c r="G10" s="20" t="n">
        <v>8</v>
      </c>
      <c r="H10" s="20"/>
      <c r="I10" s="18" t="str">
        <f aca="false">IF(H10="","",H10-G10)</f>
        <v/>
      </c>
      <c r="J10" s="18" t="str">
        <f aca="false">IF(H10="","",MAX(0,N(J9)+G10-H10))</f>
        <v/>
      </c>
      <c r="K10" s="21" t="str">
        <f aca="false">IF(OR(H10="",G10=0),"",H10/G10)</f>
        <v/>
      </c>
      <c r="L10" s="18" t="str">
        <f aca="false">IF(H10="","Pendiente",IF(J10&gt;Resumen!$B$12,"Correr calendario",IF(H10&gt;=G10,"Cumplida",IF(H10&gt;=Resumen!$B$11,"Parcial","Bajo mínimo"))))</f>
        <v>Pendiente</v>
      </c>
      <c r="M10" s="16" t="s">
        <v>94</v>
      </c>
    </row>
    <row r="11" customFormat="false" ht="23.85" hidden="false" customHeight="false" outlineLevel="0" collapsed="false">
      <c r="A11" s="18" t="n">
        <v>7</v>
      </c>
      <c r="B11" s="19" t="n">
        <f aca="false">Resumen!$B$4+7*(A11-1)</f>
        <v>46363</v>
      </c>
      <c r="C11" s="19" t="n">
        <f aca="false">B11+6</f>
        <v>46369</v>
      </c>
      <c r="D11" s="18" t="s">
        <v>93</v>
      </c>
      <c r="E11" s="18" t="s">
        <v>90</v>
      </c>
      <c r="F11" s="18" t="s">
        <v>88</v>
      </c>
      <c r="G11" s="20" t="n">
        <v>8</v>
      </c>
      <c r="H11" s="20"/>
      <c r="I11" s="18" t="str">
        <f aca="false">IF(H11="","",H11-G11)</f>
        <v/>
      </c>
      <c r="J11" s="18" t="str">
        <f aca="false">IF(H11="","",MAX(0,N(J10)+G11-H11))</f>
        <v/>
      </c>
      <c r="K11" s="21" t="str">
        <f aca="false">IF(OR(H11="",G11=0),"",H11/G11)</f>
        <v/>
      </c>
      <c r="L11" s="18" t="str">
        <f aca="false">IF(H11="","Pendiente",IF(J11&gt;Resumen!$B$12,"Correr calendario",IF(H11&gt;=G11,"Cumplida",IF(H11&gt;=Resumen!$B$11,"Parcial","Bajo mínimo"))))</f>
        <v>Pendiente</v>
      </c>
      <c r="M11" s="16" t="s">
        <v>95</v>
      </c>
    </row>
    <row r="12" customFormat="false" ht="15" hidden="false" customHeight="false" outlineLevel="0" collapsed="false">
      <c r="A12" s="18" t="n">
        <v>8</v>
      </c>
      <c r="B12" s="19" t="n">
        <f aca="false">Resumen!$B$4+7*(A12-1)</f>
        <v>46370</v>
      </c>
      <c r="C12" s="19" t="n">
        <f aca="false">B12+6</f>
        <v>46376</v>
      </c>
      <c r="D12" s="18" t="s">
        <v>96</v>
      </c>
      <c r="E12" s="18" t="s">
        <v>90</v>
      </c>
      <c r="F12" s="18" t="s">
        <v>88</v>
      </c>
      <c r="G12" s="20" t="n">
        <v>10</v>
      </c>
      <c r="H12" s="20"/>
      <c r="I12" s="18" t="str">
        <f aca="false">IF(H12="","",H12-G12)</f>
        <v/>
      </c>
      <c r="J12" s="18" t="str">
        <f aca="false">IF(H12="","",MAX(0,N(J11)+G12-H12))</f>
        <v/>
      </c>
      <c r="K12" s="21" t="str">
        <f aca="false">IF(OR(H12="",G12=0),"",H12/G12)</f>
        <v/>
      </c>
      <c r="L12" s="18" t="str">
        <f aca="false">IF(H12="","Pendiente",IF(J12&gt;Resumen!$B$12,"Correr calendario",IF(H12&gt;=G12,"Cumplida",IF(H12&gt;=Resumen!$B$11,"Parcial","Bajo mínimo"))))</f>
        <v>Pendiente</v>
      </c>
      <c r="M12" s="16"/>
    </row>
    <row r="13" customFormat="false" ht="15" hidden="false" customHeight="false" outlineLevel="0" collapsed="false">
      <c r="A13" s="18" t="n">
        <v>9</v>
      </c>
      <c r="B13" s="19" t="n">
        <f aca="false">Resumen!$B$4+7*(A13-1)</f>
        <v>46377</v>
      </c>
      <c r="C13" s="19" t="n">
        <f aca="false">B13+6</f>
        <v>46383</v>
      </c>
      <c r="D13" s="18" t="s">
        <v>96</v>
      </c>
      <c r="E13" s="18" t="s">
        <v>90</v>
      </c>
      <c r="F13" s="18" t="s">
        <v>97</v>
      </c>
      <c r="G13" s="20" t="n">
        <v>8</v>
      </c>
      <c r="H13" s="20"/>
      <c r="I13" s="18" t="str">
        <f aca="false">IF(H13="","",H13-G13)</f>
        <v/>
      </c>
      <c r="J13" s="18" t="str">
        <f aca="false">IF(H13="","",MAX(0,N(J12)+G13-H13))</f>
        <v/>
      </c>
      <c r="K13" s="21" t="str">
        <f aca="false">IF(OR(H13="",G13=0),"",H13/G13)</f>
        <v/>
      </c>
      <c r="L13" s="18" t="str">
        <f aca="false">IF(H13="","Pendiente",IF(J13&gt;Resumen!$B$12,"Correr calendario",IF(H13&gt;=G13,"Cumplida",IF(H13&gt;=Resumen!$B$11,"Parcial","Bajo mínimo"))))</f>
        <v>Pendiente</v>
      </c>
      <c r="M13" s="16" t="s">
        <v>98</v>
      </c>
    </row>
    <row r="14" customFormat="false" ht="15" hidden="false" customHeight="false" outlineLevel="0" collapsed="false">
      <c r="A14" s="18" t="n">
        <v>10</v>
      </c>
      <c r="B14" s="19" t="n">
        <f aca="false">Resumen!$B$4+7*(A14-1)</f>
        <v>46384</v>
      </c>
      <c r="C14" s="19" t="n">
        <f aca="false">B14+6</f>
        <v>46390</v>
      </c>
      <c r="D14" s="18" t="s">
        <v>99</v>
      </c>
      <c r="E14" s="18" t="s">
        <v>90</v>
      </c>
      <c r="F14" s="18" t="s">
        <v>88</v>
      </c>
      <c r="G14" s="20" t="n">
        <v>8</v>
      </c>
      <c r="H14" s="20"/>
      <c r="I14" s="18" t="str">
        <f aca="false">IF(H14="","",H14-G14)</f>
        <v/>
      </c>
      <c r="J14" s="18" t="str">
        <f aca="false">IF(H14="","",MAX(0,N(J13)+G14-H14))</f>
        <v/>
      </c>
      <c r="K14" s="21" t="str">
        <f aca="false">IF(OR(H14="",G14=0),"",H14/G14)</f>
        <v/>
      </c>
      <c r="L14" s="18" t="str">
        <f aca="false">IF(H14="","Pendiente",IF(J14&gt;Resumen!$B$12,"Correr calendario",IF(H14&gt;=G14,"Cumplida",IF(H14&gt;=Resumen!$B$11,"Parcial","Bajo mínimo"))))</f>
        <v>Pendiente</v>
      </c>
      <c r="M14" s="16" t="s">
        <v>100</v>
      </c>
    </row>
    <row r="15" customFormat="false" ht="15" hidden="false" customHeight="false" outlineLevel="0" collapsed="false">
      <c r="A15" s="18" t="n">
        <v>11</v>
      </c>
      <c r="B15" s="19" t="n">
        <f aca="false">Resumen!$B$4+7*(A15-1)</f>
        <v>46391</v>
      </c>
      <c r="C15" s="19" t="n">
        <f aca="false">B15+6</f>
        <v>46397</v>
      </c>
      <c r="D15" s="18" t="s">
        <v>99</v>
      </c>
      <c r="E15" s="18" t="s">
        <v>90</v>
      </c>
      <c r="F15" s="18" t="s">
        <v>88</v>
      </c>
      <c r="G15" s="20" t="n">
        <v>10</v>
      </c>
      <c r="H15" s="20"/>
      <c r="I15" s="18" t="str">
        <f aca="false">IF(H15="","",H15-G15)</f>
        <v/>
      </c>
      <c r="J15" s="18" t="str">
        <f aca="false">IF(H15="","",MAX(0,N(J14)+G15-H15))</f>
        <v/>
      </c>
      <c r="K15" s="21" t="str">
        <f aca="false">IF(OR(H15="",G15=0),"",H15/G15)</f>
        <v/>
      </c>
      <c r="L15" s="18" t="str">
        <f aca="false">IF(H15="","Pendiente",IF(J15&gt;Resumen!$B$12,"Correr calendario",IF(H15&gt;=G15,"Cumplida",IF(H15&gt;=Resumen!$B$11,"Parcial","Bajo mínimo"))))</f>
        <v>Pendiente</v>
      </c>
      <c r="M15" s="16"/>
    </row>
    <row r="16" customFormat="false" ht="15" hidden="false" customHeight="false" outlineLevel="0" collapsed="false">
      <c r="A16" s="18" t="n">
        <v>12</v>
      </c>
      <c r="B16" s="19" t="n">
        <f aca="false">Resumen!$B$4+7*(A16-1)</f>
        <v>46398</v>
      </c>
      <c r="C16" s="19" t="n">
        <f aca="false">B16+6</f>
        <v>46404</v>
      </c>
      <c r="D16" s="18" t="s">
        <v>99</v>
      </c>
      <c r="E16" s="18" t="s">
        <v>101</v>
      </c>
      <c r="F16" s="18" t="s">
        <v>97</v>
      </c>
      <c r="G16" s="20" t="n">
        <v>10</v>
      </c>
      <c r="H16" s="20"/>
      <c r="I16" s="18" t="str">
        <f aca="false">IF(H16="","",H16-G16)</f>
        <v/>
      </c>
      <c r="J16" s="18" t="str">
        <f aca="false">IF(H16="","",MAX(0,N(J15)+G16-H16))</f>
        <v/>
      </c>
      <c r="K16" s="21" t="str">
        <f aca="false">IF(OR(H16="",G16=0),"",H16/G16)</f>
        <v/>
      </c>
      <c r="L16" s="18" t="str">
        <f aca="false">IF(H16="","Pendiente",IF(J16&gt;Resumen!$B$12,"Correr calendario",IF(H16&gt;=G16,"Cumplida",IF(H16&gt;=Resumen!$B$11,"Parcial","Bajo mínimo"))))</f>
        <v>Pendiente</v>
      </c>
      <c r="M16" s="16" t="s">
        <v>102</v>
      </c>
    </row>
    <row r="17" customFormat="false" ht="15" hidden="false" customHeight="false" outlineLevel="0" collapsed="false">
      <c r="A17" s="18" t="n">
        <v>13</v>
      </c>
      <c r="B17" s="19" t="n">
        <f aca="false">Resumen!$B$4+7*(A17-1)</f>
        <v>46405</v>
      </c>
      <c r="C17" s="19" t="n">
        <f aca="false">B17+6</f>
        <v>46411</v>
      </c>
      <c r="D17" s="18" t="s">
        <v>103</v>
      </c>
      <c r="E17" s="18" t="s">
        <v>90</v>
      </c>
      <c r="F17" s="18" t="s">
        <v>88</v>
      </c>
      <c r="G17" s="20" t="n">
        <v>10</v>
      </c>
      <c r="H17" s="20"/>
      <c r="I17" s="18" t="str">
        <f aca="false">IF(H17="","",H17-G17)</f>
        <v/>
      </c>
      <c r="J17" s="18" t="str">
        <f aca="false">IF(H17="","",MAX(0,N(J16)+G17-H17))</f>
        <v/>
      </c>
      <c r="K17" s="21" t="str">
        <f aca="false">IF(OR(H17="",G17=0),"",H17/G17)</f>
        <v/>
      </c>
      <c r="L17" s="18" t="str">
        <f aca="false">IF(H17="","Pendiente",IF(J17&gt;Resumen!$B$12,"Correr calendario",IF(H17&gt;=G17,"Cumplida",IF(H17&gt;=Resumen!$B$11,"Parcial","Bajo mínimo"))))</f>
        <v>Pendiente</v>
      </c>
      <c r="M17" s="16"/>
    </row>
    <row r="18" customFormat="false" ht="15" hidden="false" customHeight="false" outlineLevel="0" collapsed="false">
      <c r="A18" s="18" t="n">
        <v>14</v>
      </c>
      <c r="B18" s="19" t="n">
        <f aca="false">Resumen!$B$4+7*(A18-1)</f>
        <v>46412</v>
      </c>
      <c r="C18" s="19" t="n">
        <f aca="false">B18+6</f>
        <v>46418</v>
      </c>
      <c r="D18" s="18" t="s">
        <v>103</v>
      </c>
      <c r="E18" s="18" t="s">
        <v>90</v>
      </c>
      <c r="F18" s="18" t="s">
        <v>88</v>
      </c>
      <c r="G18" s="20" t="n">
        <v>10</v>
      </c>
      <c r="H18" s="20"/>
      <c r="I18" s="18" t="str">
        <f aca="false">IF(H18="","",H18-G18)</f>
        <v/>
      </c>
      <c r="J18" s="18" t="str">
        <f aca="false">IF(H18="","",MAX(0,N(J17)+G18-H18))</f>
        <v/>
      </c>
      <c r="K18" s="21" t="str">
        <f aca="false">IF(OR(H18="",G18=0),"",H18/G18)</f>
        <v/>
      </c>
      <c r="L18" s="18" t="str">
        <f aca="false">IF(H18="","Pendiente",IF(J18&gt;Resumen!$B$12,"Correr calendario",IF(H18&gt;=G18,"Cumplida",IF(H18&gt;=Resumen!$B$11,"Parcial","Bajo mínimo"))))</f>
        <v>Pendiente</v>
      </c>
      <c r="M18" s="16"/>
    </row>
    <row r="19" customFormat="false" ht="23.85" hidden="false" customHeight="false" outlineLevel="0" collapsed="false">
      <c r="A19" s="18" t="n">
        <v>15</v>
      </c>
      <c r="B19" s="19" t="n">
        <f aca="false">Resumen!$B$4+7*(A19-1)</f>
        <v>46419</v>
      </c>
      <c r="C19" s="19" t="n">
        <f aca="false">B19+6</f>
        <v>46425</v>
      </c>
      <c r="D19" s="18" t="s">
        <v>103</v>
      </c>
      <c r="E19" s="18" t="s">
        <v>90</v>
      </c>
      <c r="F19" s="18" t="s">
        <v>97</v>
      </c>
      <c r="G19" s="20" t="n">
        <v>10</v>
      </c>
      <c r="H19" s="20"/>
      <c r="I19" s="18" t="str">
        <f aca="false">IF(H19="","",H19-G19)</f>
        <v/>
      </c>
      <c r="J19" s="18" t="str">
        <f aca="false">IF(H19="","",MAX(0,N(J18)+G19-H19))</f>
        <v/>
      </c>
      <c r="K19" s="21" t="str">
        <f aca="false">IF(OR(H19="",G19=0),"",H19/G19)</f>
        <v/>
      </c>
      <c r="L19" s="18" t="str">
        <f aca="false">IF(H19="","Pendiente",IF(J19&gt;Resumen!$B$12,"Correr calendario",IF(H19&gt;=G19,"Cumplida",IF(H19&gt;=Resumen!$B$11,"Parcial","Bajo mínimo"))))</f>
        <v>Pendiente</v>
      </c>
      <c r="M19" s="16" t="s">
        <v>104</v>
      </c>
    </row>
    <row r="20" customFormat="false" ht="15" hidden="false" customHeight="false" outlineLevel="0" collapsed="false">
      <c r="A20" s="18" t="n">
        <v>16</v>
      </c>
      <c r="B20" s="19" t="n">
        <f aca="false">Resumen!$B$4+7*(A20-1)</f>
        <v>46426</v>
      </c>
      <c r="C20" s="19" t="n">
        <f aca="false">B20+6</f>
        <v>46432</v>
      </c>
      <c r="D20" s="18" t="s">
        <v>105</v>
      </c>
      <c r="E20" s="18" t="s">
        <v>90</v>
      </c>
      <c r="F20" s="18" t="s">
        <v>88</v>
      </c>
      <c r="G20" s="20" t="n">
        <v>10</v>
      </c>
      <c r="H20" s="20"/>
      <c r="I20" s="18" t="str">
        <f aca="false">IF(H20="","",H20-G20)</f>
        <v/>
      </c>
      <c r="J20" s="18" t="str">
        <f aca="false">IF(H20="","",MAX(0,N(J19)+G20-H20))</f>
        <v/>
      </c>
      <c r="K20" s="21" t="str">
        <f aca="false">IF(OR(H20="",G20=0),"",H20/G20)</f>
        <v/>
      </c>
      <c r="L20" s="18" t="str">
        <f aca="false">IF(H20="","Pendiente",IF(J20&gt;Resumen!$B$12,"Correr calendario",IF(H20&gt;=G20,"Cumplida",IF(H20&gt;=Resumen!$B$11,"Parcial","Bajo mínimo"))))</f>
        <v>Pendiente</v>
      </c>
      <c r="M20" s="16" t="s">
        <v>106</v>
      </c>
    </row>
    <row r="21" customFormat="false" ht="15" hidden="false" customHeight="false" outlineLevel="0" collapsed="false">
      <c r="A21" s="18" t="n">
        <v>17</v>
      </c>
      <c r="B21" s="19" t="n">
        <f aca="false">Resumen!$B$4+7*(A21-1)</f>
        <v>46433</v>
      </c>
      <c r="C21" s="19" t="n">
        <f aca="false">B21+6</f>
        <v>46439</v>
      </c>
      <c r="D21" s="18" t="s">
        <v>105</v>
      </c>
      <c r="E21" s="18" t="s">
        <v>90</v>
      </c>
      <c r="F21" s="18" t="s">
        <v>88</v>
      </c>
      <c r="G21" s="20" t="n">
        <v>10</v>
      </c>
      <c r="H21" s="20"/>
      <c r="I21" s="18" t="str">
        <f aca="false">IF(H21="","",H21-G21)</f>
        <v/>
      </c>
      <c r="J21" s="18" t="str">
        <f aca="false">IF(H21="","",MAX(0,N(J20)+G21-H21))</f>
        <v/>
      </c>
      <c r="K21" s="21" t="str">
        <f aca="false">IF(OR(H21="",G21=0),"",H21/G21)</f>
        <v/>
      </c>
      <c r="L21" s="18" t="str">
        <f aca="false">IF(H21="","Pendiente",IF(J21&gt;Resumen!$B$12,"Correr calendario",IF(H21&gt;=G21,"Cumplida",IF(H21&gt;=Resumen!$B$11,"Parcial","Bajo mínimo"))))</f>
        <v>Pendiente</v>
      </c>
      <c r="M21" s="16" t="s">
        <v>106</v>
      </c>
    </row>
    <row r="22" customFormat="false" ht="15" hidden="false" customHeight="false" outlineLevel="0" collapsed="false">
      <c r="A22" s="18" t="n">
        <v>18</v>
      </c>
      <c r="B22" s="19" t="n">
        <f aca="false">Resumen!$B$4+7*(A22-1)</f>
        <v>46440</v>
      </c>
      <c r="C22" s="19" t="n">
        <f aca="false">B22+6</f>
        <v>46446</v>
      </c>
      <c r="D22" s="18" t="s">
        <v>107</v>
      </c>
      <c r="E22" s="18" t="s">
        <v>90</v>
      </c>
      <c r="F22" s="18" t="s">
        <v>88</v>
      </c>
      <c r="G22" s="20" t="n">
        <v>10</v>
      </c>
      <c r="H22" s="20"/>
      <c r="I22" s="18" t="str">
        <f aca="false">IF(H22="","",H22-G22)</f>
        <v/>
      </c>
      <c r="J22" s="18" t="str">
        <f aca="false">IF(H22="","",MAX(0,N(J21)+G22-H22))</f>
        <v/>
      </c>
      <c r="K22" s="21" t="str">
        <f aca="false">IF(OR(H22="",G22=0),"",H22/G22)</f>
        <v/>
      </c>
      <c r="L22" s="18" t="str">
        <f aca="false">IF(H22="","Pendiente",IF(J22&gt;Resumen!$B$12,"Correr calendario",IF(H22&gt;=G22,"Cumplida",IF(H22&gt;=Resumen!$B$11,"Parcial","Bajo mínimo"))))</f>
        <v>Pendiente</v>
      </c>
      <c r="M22" s="16"/>
    </row>
    <row r="23" customFormat="false" ht="15" hidden="false" customHeight="false" outlineLevel="0" collapsed="false">
      <c r="A23" s="18" t="n">
        <v>19</v>
      </c>
      <c r="B23" s="19" t="n">
        <f aca="false">Resumen!$B$4+7*(A23-1)</f>
        <v>46447</v>
      </c>
      <c r="C23" s="19" t="n">
        <f aca="false">B23+6</f>
        <v>46453</v>
      </c>
      <c r="D23" s="18" t="s">
        <v>107</v>
      </c>
      <c r="E23" s="18" t="s">
        <v>90</v>
      </c>
      <c r="F23" s="18" t="s">
        <v>97</v>
      </c>
      <c r="G23" s="20" t="n">
        <v>10</v>
      </c>
      <c r="H23" s="20"/>
      <c r="I23" s="18" t="str">
        <f aca="false">IF(H23="","",H23-G23)</f>
        <v/>
      </c>
      <c r="J23" s="18" t="str">
        <f aca="false">IF(H23="","",MAX(0,N(J22)+G23-H23))</f>
        <v/>
      </c>
      <c r="K23" s="21" t="str">
        <f aca="false">IF(OR(H23="",G23=0),"",H23/G23)</f>
        <v/>
      </c>
      <c r="L23" s="18" t="str">
        <f aca="false">IF(H23="","Pendiente",IF(J23&gt;Resumen!$B$12,"Correr calendario",IF(H23&gt;=G23,"Cumplida",IF(H23&gt;=Resumen!$B$11,"Parcial","Bajo mínimo"))))</f>
        <v>Pendiente</v>
      </c>
      <c r="M23" s="16"/>
    </row>
    <row r="24" customFormat="false" ht="15" hidden="false" customHeight="false" outlineLevel="0" collapsed="false">
      <c r="A24" s="18" t="n">
        <v>20</v>
      </c>
      <c r="B24" s="19" t="n">
        <f aca="false">Resumen!$B$4+7*(A24-1)</f>
        <v>46454</v>
      </c>
      <c r="C24" s="19" t="n">
        <f aca="false">B24+6</f>
        <v>46460</v>
      </c>
      <c r="D24" s="18" t="s">
        <v>108</v>
      </c>
      <c r="E24" s="18" t="s">
        <v>90</v>
      </c>
      <c r="F24" s="18" t="s">
        <v>88</v>
      </c>
      <c r="G24" s="20" t="n">
        <v>10</v>
      </c>
      <c r="H24" s="20"/>
      <c r="I24" s="18" t="str">
        <f aca="false">IF(H24="","",H24-G24)</f>
        <v/>
      </c>
      <c r="J24" s="18" t="str">
        <f aca="false">IF(H24="","",MAX(0,N(J23)+G24-H24))</f>
        <v/>
      </c>
      <c r="K24" s="21" t="str">
        <f aca="false">IF(OR(H24="",G24=0),"",H24/G24)</f>
        <v/>
      </c>
      <c r="L24" s="18" t="str">
        <f aca="false">IF(H24="","Pendiente",IF(J24&gt;Resumen!$B$12,"Correr calendario",IF(H24&gt;=G24,"Cumplida",IF(H24&gt;=Resumen!$B$11,"Parcial","Bajo mínimo"))))</f>
        <v>Pendiente</v>
      </c>
      <c r="M24" s="16"/>
    </row>
    <row r="25" customFormat="false" ht="15" hidden="false" customHeight="false" outlineLevel="0" collapsed="false">
      <c r="A25" s="18" t="n">
        <v>21</v>
      </c>
      <c r="B25" s="19" t="n">
        <f aca="false">Resumen!$B$4+7*(A25-1)</f>
        <v>46461</v>
      </c>
      <c r="C25" s="19" t="n">
        <f aca="false">B25+6</f>
        <v>46467</v>
      </c>
      <c r="D25" s="18" t="s">
        <v>108</v>
      </c>
      <c r="E25" s="18" t="s">
        <v>90</v>
      </c>
      <c r="F25" s="18" t="s">
        <v>88</v>
      </c>
      <c r="G25" s="20" t="n">
        <v>10</v>
      </c>
      <c r="H25" s="20"/>
      <c r="I25" s="18" t="str">
        <f aca="false">IF(H25="","",H25-G25)</f>
        <v/>
      </c>
      <c r="J25" s="18" t="str">
        <f aca="false">IF(H25="","",MAX(0,N(J24)+G25-H25))</f>
        <v/>
      </c>
      <c r="K25" s="21" t="str">
        <f aca="false">IF(OR(H25="",G25=0),"",H25/G25)</f>
        <v/>
      </c>
      <c r="L25" s="18" t="str">
        <f aca="false">IF(H25="","Pendiente",IF(J25&gt;Resumen!$B$12,"Correr calendario",IF(H25&gt;=G25,"Cumplida",IF(H25&gt;=Resumen!$B$11,"Parcial","Bajo mínimo"))))</f>
        <v>Pendiente</v>
      </c>
      <c r="M25" s="16"/>
    </row>
    <row r="26" customFormat="false" ht="15" hidden="false" customHeight="false" outlineLevel="0" collapsed="false">
      <c r="A26" s="18" t="n">
        <v>22</v>
      </c>
      <c r="B26" s="19" t="n">
        <f aca="false">Resumen!$B$4+7*(A26-1)</f>
        <v>46468</v>
      </c>
      <c r="C26" s="19" t="n">
        <f aca="false">B26+6</f>
        <v>46474</v>
      </c>
      <c r="D26" s="18" t="s">
        <v>108</v>
      </c>
      <c r="E26" s="18" t="s">
        <v>90</v>
      </c>
      <c r="F26" s="18" t="s">
        <v>88</v>
      </c>
      <c r="G26" s="20" t="n">
        <v>10</v>
      </c>
      <c r="H26" s="20"/>
      <c r="I26" s="18" t="str">
        <f aca="false">IF(H26="","",H26-G26)</f>
        <v/>
      </c>
      <c r="J26" s="18" t="str">
        <f aca="false">IF(H26="","",MAX(0,N(J25)+G26-H26))</f>
        <v/>
      </c>
      <c r="K26" s="21" t="str">
        <f aca="false">IF(OR(H26="",G26=0),"",H26/G26)</f>
        <v/>
      </c>
      <c r="L26" s="18" t="str">
        <f aca="false">IF(H26="","Pendiente",IF(J26&gt;Resumen!$B$12,"Correr calendario",IF(H26&gt;=G26,"Cumplida",IF(H26&gt;=Resumen!$B$11,"Parcial","Bajo mínimo"))))</f>
        <v>Pendiente</v>
      </c>
      <c r="M26" s="16" t="s">
        <v>109</v>
      </c>
    </row>
    <row r="27" customFormat="false" ht="15" hidden="false" customHeight="false" outlineLevel="0" collapsed="false">
      <c r="A27" s="18" t="n">
        <v>23</v>
      </c>
      <c r="B27" s="19" t="n">
        <f aca="false">Resumen!$B$4+7*(A27-1)</f>
        <v>46475</v>
      </c>
      <c r="C27" s="19" t="n">
        <f aca="false">B27+6</f>
        <v>46481</v>
      </c>
      <c r="D27" s="18" t="s">
        <v>110</v>
      </c>
      <c r="E27" s="18" t="s">
        <v>111</v>
      </c>
      <c r="F27" s="18" t="s">
        <v>88</v>
      </c>
      <c r="G27" s="20" t="n">
        <v>10</v>
      </c>
      <c r="H27" s="20"/>
      <c r="I27" s="18" t="str">
        <f aca="false">IF(H27="","",H27-G27)</f>
        <v/>
      </c>
      <c r="J27" s="18" t="str">
        <f aca="false">IF(H27="","",MAX(0,N(J26)+G27-H27))</f>
        <v/>
      </c>
      <c r="K27" s="21" t="str">
        <f aca="false">IF(OR(H27="",G27=0),"",H27/G27)</f>
        <v/>
      </c>
      <c r="L27" s="18" t="str">
        <f aca="false">IF(H27="","Pendiente",IF(J27&gt;Resumen!$B$12,"Correr calendario",IF(H27&gt;=G27,"Cumplida",IF(H27&gt;=Resumen!$B$11,"Parcial","Bajo mínimo"))))</f>
        <v>Pendiente</v>
      </c>
      <c r="M27" s="16"/>
    </row>
    <row r="28" customFormat="false" ht="15" hidden="false" customHeight="false" outlineLevel="0" collapsed="false">
      <c r="A28" s="18" t="n">
        <v>24</v>
      </c>
      <c r="B28" s="19" t="n">
        <f aca="false">Resumen!$B$4+7*(A28-1)</f>
        <v>46482</v>
      </c>
      <c r="C28" s="19" t="n">
        <f aca="false">B28+6</f>
        <v>46488</v>
      </c>
      <c r="D28" s="18" t="s">
        <v>110</v>
      </c>
      <c r="E28" s="18" t="s">
        <v>111</v>
      </c>
      <c r="F28" s="18" t="s">
        <v>88</v>
      </c>
      <c r="G28" s="20" t="n">
        <v>10</v>
      </c>
      <c r="H28" s="20"/>
      <c r="I28" s="18" t="str">
        <f aca="false">IF(H28="","",H28-G28)</f>
        <v/>
      </c>
      <c r="J28" s="18" t="str">
        <f aca="false">IF(H28="","",MAX(0,N(J27)+G28-H28))</f>
        <v/>
      </c>
      <c r="K28" s="21" t="str">
        <f aca="false">IF(OR(H28="",G28=0),"",H28/G28)</f>
        <v/>
      </c>
      <c r="L28" s="18" t="str">
        <f aca="false">IF(H28="","Pendiente",IF(J28&gt;Resumen!$B$12,"Correr calendario",IF(H28&gt;=G28,"Cumplida",IF(H28&gt;=Resumen!$B$11,"Parcial","Bajo mínimo"))))</f>
        <v>Pendiente</v>
      </c>
      <c r="M28" s="16" t="s">
        <v>112</v>
      </c>
    </row>
    <row r="29" customFormat="false" ht="15" hidden="false" customHeight="false" outlineLevel="0" collapsed="false">
      <c r="A29" s="18" t="n">
        <v>25</v>
      </c>
      <c r="B29" s="19" t="n">
        <f aca="false">Resumen!$B$4+7*(A29-1)</f>
        <v>46489</v>
      </c>
      <c r="C29" s="19" t="n">
        <f aca="false">B29+6</f>
        <v>46495</v>
      </c>
      <c r="D29" s="18" t="s">
        <v>110</v>
      </c>
      <c r="E29" s="18" t="s">
        <v>113</v>
      </c>
      <c r="F29" s="18" t="s">
        <v>88</v>
      </c>
      <c r="G29" s="20" t="n">
        <v>10</v>
      </c>
      <c r="H29" s="20"/>
      <c r="I29" s="18" t="str">
        <f aca="false">IF(H29="","",H29-G29)</f>
        <v/>
      </c>
      <c r="J29" s="18" t="str">
        <f aca="false">IF(H29="","",MAX(0,N(J28)+G29-H29))</f>
        <v/>
      </c>
      <c r="K29" s="21" t="str">
        <f aca="false">IF(OR(H29="",G29=0),"",H29/G29)</f>
        <v/>
      </c>
      <c r="L29" s="18" t="str">
        <f aca="false">IF(H29="","Pendiente",IF(J29&gt;Resumen!$B$12,"Correr calendario",IF(H29&gt;=G29,"Cumplida",IF(H29&gt;=Resumen!$B$11,"Parcial","Bajo mínimo"))))</f>
        <v>Pendiente</v>
      </c>
      <c r="M29" s="16"/>
    </row>
    <row r="30" customFormat="false" ht="15" hidden="false" customHeight="false" outlineLevel="0" collapsed="false">
      <c r="A30" s="18" t="n">
        <v>26</v>
      </c>
      <c r="B30" s="19" t="n">
        <f aca="false">Resumen!$B$4+7*(A30-1)</f>
        <v>46496</v>
      </c>
      <c r="C30" s="19" t="n">
        <f aca="false">B30+6</f>
        <v>46502</v>
      </c>
      <c r="D30" s="18" t="s">
        <v>110</v>
      </c>
      <c r="E30" s="18" t="s">
        <v>114</v>
      </c>
      <c r="F30" s="18" t="s">
        <v>88</v>
      </c>
      <c r="G30" s="20" t="n">
        <v>10</v>
      </c>
      <c r="H30" s="20"/>
      <c r="I30" s="18" t="str">
        <f aca="false">IF(H30="","",H30-G30)</f>
        <v/>
      </c>
      <c r="J30" s="18" t="str">
        <f aca="false">IF(H30="","",MAX(0,N(J29)+G30-H30))</f>
        <v/>
      </c>
      <c r="K30" s="21" t="str">
        <f aca="false">IF(OR(H30="",G30=0),"",H30/G30)</f>
        <v/>
      </c>
      <c r="L30" s="18" t="str">
        <f aca="false">IF(H30="","Pendiente",IF(J30&gt;Resumen!$B$12,"Correr calendario",IF(H30&gt;=G30,"Cumplida",IF(H30&gt;=Resumen!$B$11,"Parcial","Bajo mínimo"))))</f>
        <v>Pendiente</v>
      </c>
      <c r="M30" s="16"/>
    </row>
    <row r="31" customFormat="false" ht="15" hidden="false" customHeight="false" outlineLevel="0" collapsed="false">
      <c r="A31" s="18" t="n">
        <v>27</v>
      </c>
      <c r="B31" s="19" t="n">
        <f aca="false">Resumen!$B$4+7*(A31-1)</f>
        <v>46503</v>
      </c>
      <c r="C31" s="19" t="n">
        <f aca="false">B31+6</f>
        <v>46509</v>
      </c>
      <c r="D31" s="18" t="s">
        <v>110</v>
      </c>
      <c r="E31" s="18" t="s">
        <v>115</v>
      </c>
      <c r="F31" s="18" t="s">
        <v>88</v>
      </c>
      <c r="G31" s="20" t="n">
        <v>10</v>
      </c>
      <c r="H31" s="20"/>
      <c r="I31" s="18" t="str">
        <f aca="false">IF(H31="","",H31-G31)</f>
        <v/>
      </c>
      <c r="J31" s="18" t="str">
        <f aca="false">IF(H31="","",MAX(0,N(J30)+G31-H31))</f>
        <v/>
      </c>
      <c r="K31" s="21" t="str">
        <f aca="false">IF(OR(H31="",G31=0),"",H31/G31)</f>
        <v/>
      </c>
      <c r="L31" s="18" t="str">
        <f aca="false">IF(H31="","Pendiente",IF(J31&gt;Resumen!$B$12,"Correr calendario",IF(H31&gt;=G31,"Cumplida",IF(H31&gt;=Resumen!$B$11,"Parcial","Bajo mínimo"))))</f>
        <v>Pendiente</v>
      </c>
      <c r="M31" s="16"/>
    </row>
    <row r="32" customFormat="false" ht="15" hidden="false" customHeight="false" outlineLevel="0" collapsed="false">
      <c r="A32" s="18" t="n">
        <v>28</v>
      </c>
      <c r="B32" s="19" t="n">
        <f aca="false">Resumen!$B$4+7*(A32-1)</f>
        <v>46510</v>
      </c>
      <c r="C32" s="19" t="n">
        <f aca="false">B32+6</f>
        <v>46516</v>
      </c>
      <c r="D32" s="18" t="s">
        <v>110</v>
      </c>
      <c r="E32" s="18" t="s">
        <v>116</v>
      </c>
      <c r="F32" s="18" t="s">
        <v>88</v>
      </c>
      <c r="G32" s="20" t="n">
        <v>7</v>
      </c>
      <c r="H32" s="20"/>
      <c r="I32" s="18" t="str">
        <f aca="false">IF(H32="","",H32-G32)</f>
        <v/>
      </c>
      <c r="J32" s="18" t="str">
        <f aca="false">IF(H32="","",MAX(0,N(J31)+G32-H32))</f>
        <v/>
      </c>
      <c r="K32" s="21" t="str">
        <f aca="false">IF(OR(H32="",G32=0),"",H32/G32)</f>
        <v/>
      </c>
      <c r="L32" s="18" t="str">
        <f aca="false">IF(H32="","Pendiente",IF(J32&gt;Resumen!$B$12,"Correr calendario",IF(H32&gt;=G32,"Cumplida",IF(H32&gt;=Resumen!$B$11,"Parcial","Bajo mínimo"))))</f>
        <v>Pendiente</v>
      </c>
      <c r="M32" s="16"/>
    </row>
    <row r="33" customFormat="false" ht="15" hidden="false" customHeight="false" outlineLevel="0" collapsed="false">
      <c r="A33" s="18" t="n">
        <v>29</v>
      </c>
      <c r="B33" s="19" t="n">
        <f aca="false">Resumen!$B$4+7*(A33-1)</f>
        <v>46517</v>
      </c>
      <c r="C33" s="19" t="n">
        <f aca="false">B33+6</f>
        <v>46523</v>
      </c>
      <c r="D33" s="18" t="s">
        <v>117</v>
      </c>
      <c r="E33" s="18" t="s">
        <v>118</v>
      </c>
      <c r="F33" s="18" t="s">
        <v>59</v>
      </c>
      <c r="G33" s="20" t="n">
        <v>0</v>
      </c>
      <c r="H33" s="20"/>
      <c r="I33" s="18" t="str">
        <f aca="false">IF(H33="","",H33-G33)</f>
        <v/>
      </c>
      <c r="J33" s="18" t="str">
        <f aca="false">IF(H33="","",MAX(0,N(J32)+G33-H33))</f>
        <v/>
      </c>
      <c r="K33" s="21" t="str">
        <f aca="false">IF(OR(H33="",G33=0),"",H33/G33)</f>
        <v/>
      </c>
      <c r="L33" s="18" t="str">
        <f aca="false">IF(H33="","Pendiente",IF(J33&gt;Resumen!$B$12,"Correr calendario",IF(H33&gt;=G33,"Cumplida",IF(H33&gt;=Resumen!$B$11,"Parcial","Bajo mínimo"))))</f>
        <v>Pendiente</v>
      </c>
      <c r="M33" s="16" t="s">
        <v>119</v>
      </c>
    </row>
    <row r="35" customFormat="false" ht="15" hidden="false" customHeight="false" outlineLevel="0" collapsed="false">
      <c r="A35" s="2" t="s">
        <v>120</v>
      </c>
    </row>
  </sheetData>
  <conditionalFormatting sqref="L5:L33">
    <cfRule type="expression" priority="2" aboveAverage="0" equalAverage="0" bottom="0" percent="0" rank="0" text="" dxfId="0">
      <formula>$L5="Cumplida"</formula>
    </cfRule>
    <cfRule type="expression" priority="3" aboveAverage="0" equalAverage="0" bottom="0" percent="0" rank="0" text="" dxfId="1">
      <formula>$L5="Parcial"</formula>
    </cfRule>
    <cfRule type="expression" priority="4" aboveAverage="0" equalAverage="0" bottom="0" percent="0" rank="0" text="" dxfId="2">
      <formula>OR($L5="Bajo mínimo",$L5="Correr calendario")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5" min="13" style="0" width="10"/>
    <col collapsed="false" customWidth="true" hidden="false" outlineLevel="0" max="16" min="16" style="0" width="15"/>
    <col collapsed="false" customWidth="true" hidden="false" outlineLevel="0" max="17" min="17" style="0" width="10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23.85" hidden="false" customHeight="false" outlineLevel="0" collapsed="false">
      <c r="A4" s="15" t="s">
        <v>78</v>
      </c>
      <c r="B4" s="15" t="s">
        <v>123</v>
      </c>
      <c r="C4" s="15" t="s">
        <v>124</v>
      </c>
      <c r="D4" s="15" t="s">
        <v>125</v>
      </c>
      <c r="E4" s="15" t="s">
        <v>126</v>
      </c>
      <c r="F4" s="15" t="s">
        <v>127</v>
      </c>
      <c r="G4" s="15" t="s">
        <v>128</v>
      </c>
      <c r="H4" s="15" t="s">
        <v>129</v>
      </c>
      <c r="I4" s="15" t="s">
        <v>130</v>
      </c>
      <c r="J4" s="15" t="s">
        <v>131</v>
      </c>
      <c r="K4" s="15" t="s">
        <v>132</v>
      </c>
      <c r="L4" s="15" t="s">
        <v>133</v>
      </c>
      <c r="M4" s="15" t="s">
        <v>134</v>
      </c>
      <c r="N4" s="15" t="s">
        <v>135</v>
      </c>
      <c r="O4" s="15" t="s">
        <v>136</v>
      </c>
      <c r="P4" s="15" t="s">
        <v>137</v>
      </c>
      <c r="Q4" s="15" t="s">
        <v>138</v>
      </c>
    </row>
    <row r="5" customFormat="false" ht="15" hidden="false" customHeight="false" outlineLevel="0" collapsed="false">
      <c r="A5" s="22" t="s">
        <v>139</v>
      </c>
      <c r="B5" s="22" t="s">
        <v>140</v>
      </c>
      <c r="C5" s="22" t="s">
        <v>141</v>
      </c>
      <c r="D5" s="23" t="n">
        <v>22</v>
      </c>
      <c r="E5" s="22" t="n">
        <f aca="false">ROUND(D5/Resumen!$B$14,0)</f>
        <v>15</v>
      </c>
      <c r="F5" s="23" t="n">
        <v>1</v>
      </c>
      <c r="G5" s="23" t="n">
        <v>22</v>
      </c>
      <c r="H5" s="5" t="n">
        <f aca="false">Resumen!$B$4+7*(F5-1)</f>
        <v>46321</v>
      </c>
      <c r="I5" s="5" t="n">
        <f aca="false">Resumen!$B$4+7*(G5-1)+6</f>
        <v>46474</v>
      </c>
      <c r="J5" s="23" t="s">
        <v>88</v>
      </c>
      <c r="K5" s="24" t="n">
        <v>0</v>
      </c>
      <c r="L5" s="24" t="n">
        <v>0</v>
      </c>
      <c r="M5" s="24" t="n">
        <v>0</v>
      </c>
      <c r="N5" s="23" t="s">
        <v>88</v>
      </c>
      <c r="O5" s="23" t="s">
        <v>88</v>
      </c>
      <c r="P5" s="25" t="str">
        <f aca="false">IFERROR(AVERAGEIFS(Registro!$D$6:$D$500,Registro!$C$6:$C$500,A5),"")</f>
        <v/>
      </c>
      <c r="Q5" s="25" t="n">
        <f aca="false">0.35*K5+0.2*L5+0.45*M5</f>
        <v>0</v>
      </c>
    </row>
    <row r="6" customFormat="false" ht="15" hidden="false" customHeight="false" outlineLevel="0" collapsed="false">
      <c r="A6" s="22" t="s">
        <v>86</v>
      </c>
      <c r="B6" s="22" t="s">
        <v>140</v>
      </c>
      <c r="C6" s="22" t="s">
        <v>142</v>
      </c>
      <c r="D6" s="23" t="n">
        <v>30</v>
      </c>
      <c r="E6" s="22" t="n">
        <f aca="false">ROUND(D6/Resumen!$B$14,0)</f>
        <v>20</v>
      </c>
      <c r="F6" s="23" t="n">
        <v>1</v>
      </c>
      <c r="G6" s="23" t="n">
        <v>2</v>
      </c>
      <c r="H6" s="5" t="n">
        <f aca="false">Resumen!$B$4+7*(F6-1)</f>
        <v>46321</v>
      </c>
      <c r="I6" s="5" t="n">
        <f aca="false">Resumen!$B$4+7*(G6-1)+6</f>
        <v>46334</v>
      </c>
      <c r="J6" s="23" t="s">
        <v>88</v>
      </c>
      <c r="K6" s="24" t="n">
        <v>0</v>
      </c>
      <c r="L6" s="24" t="n">
        <v>0</v>
      </c>
      <c r="M6" s="24" t="n">
        <v>0</v>
      </c>
      <c r="N6" s="23" t="s">
        <v>88</v>
      </c>
      <c r="O6" s="23" t="s">
        <v>88</v>
      </c>
      <c r="P6" s="25" t="str">
        <f aca="false">IFERROR(AVERAGEIFS(Registro!$D$6:$D$500,Registro!$C$6:$C$500,A6),"")</f>
        <v/>
      </c>
      <c r="Q6" s="25" t="n">
        <f aca="false">0.35*K6+0.2*L6+0.45*M6</f>
        <v>0</v>
      </c>
    </row>
    <row r="7" customFormat="false" ht="15" hidden="false" customHeight="false" outlineLevel="0" collapsed="false">
      <c r="A7" s="22" t="s">
        <v>91</v>
      </c>
      <c r="B7" s="22" t="s">
        <v>143</v>
      </c>
      <c r="C7" s="22" t="s">
        <v>144</v>
      </c>
      <c r="D7" s="23" t="n">
        <v>28</v>
      </c>
      <c r="E7" s="22" t="n">
        <f aca="false">ROUND(D7/Resumen!$B$14,0)</f>
        <v>19</v>
      </c>
      <c r="F7" s="23" t="n">
        <v>3</v>
      </c>
      <c r="G7" s="23" t="n">
        <v>4</v>
      </c>
      <c r="H7" s="5" t="n">
        <f aca="false">Resumen!$B$4+7*(F7-1)</f>
        <v>46335</v>
      </c>
      <c r="I7" s="5" t="n">
        <f aca="false">Resumen!$B$4+7*(G7-1)+6</f>
        <v>46348</v>
      </c>
      <c r="J7" s="23" t="s">
        <v>88</v>
      </c>
      <c r="K7" s="24" t="n">
        <v>0</v>
      </c>
      <c r="L7" s="24" t="n">
        <v>0</v>
      </c>
      <c r="M7" s="24" t="n">
        <v>0</v>
      </c>
      <c r="N7" s="23" t="s">
        <v>88</v>
      </c>
      <c r="O7" s="23" t="s">
        <v>88</v>
      </c>
      <c r="P7" s="25" t="str">
        <f aca="false">IFERROR(AVERAGEIFS(Registro!$D$6:$D$500,Registro!$C$6:$C$500,A7),"")</f>
        <v/>
      </c>
      <c r="Q7" s="25" t="n">
        <f aca="false">0.35*K7+0.2*L7+0.45*M7</f>
        <v>0</v>
      </c>
    </row>
    <row r="8" customFormat="false" ht="15" hidden="false" customHeight="false" outlineLevel="0" collapsed="false">
      <c r="A8" s="22" t="s">
        <v>93</v>
      </c>
      <c r="B8" s="22" t="s">
        <v>140</v>
      </c>
      <c r="C8" s="22" t="s">
        <v>142</v>
      </c>
      <c r="D8" s="23" t="n">
        <v>48</v>
      </c>
      <c r="E8" s="22" t="n">
        <f aca="false">ROUND(D8/Resumen!$B$14,0)</f>
        <v>32</v>
      </c>
      <c r="F8" s="23" t="n">
        <v>5</v>
      </c>
      <c r="G8" s="23" t="n">
        <v>7</v>
      </c>
      <c r="H8" s="5" t="n">
        <f aca="false">Resumen!$B$4+7*(F8-1)</f>
        <v>46349</v>
      </c>
      <c r="I8" s="5" t="n">
        <f aca="false">Resumen!$B$4+7*(G8-1)+6</f>
        <v>46369</v>
      </c>
      <c r="J8" s="23" t="s">
        <v>88</v>
      </c>
      <c r="K8" s="24" t="n">
        <v>0</v>
      </c>
      <c r="L8" s="24" t="n">
        <v>0</v>
      </c>
      <c r="M8" s="24" t="n">
        <v>0</v>
      </c>
      <c r="N8" s="23" t="s">
        <v>88</v>
      </c>
      <c r="O8" s="23" t="s">
        <v>88</v>
      </c>
      <c r="P8" s="25" t="str">
        <f aca="false">IFERROR(AVERAGEIFS(Registro!$D$6:$D$500,Registro!$C$6:$C$500,A8),"")</f>
        <v/>
      </c>
      <c r="Q8" s="25" t="n">
        <f aca="false">0.35*K8+0.2*L8+0.45*M8</f>
        <v>0</v>
      </c>
    </row>
    <row r="9" customFormat="false" ht="15" hidden="false" customHeight="false" outlineLevel="0" collapsed="false">
      <c r="A9" s="22" t="s">
        <v>96</v>
      </c>
      <c r="B9" s="22" t="s">
        <v>145</v>
      </c>
      <c r="C9" s="22" t="s">
        <v>141</v>
      </c>
      <c r="D9" s="23" t="n">
        <v>22</v>
      </c>
      <c r="E9" s="22" t="n">
        <f aca="false">ROUND(D9/Resumen!$B$14,0)</f>
        <v>15</v>
      </c>
      <c r="F9" s="23" t="n">
        <v>8</v>
      </c>
      <c r="G9" s="23" t="n">
        <v>9</v>
      </c>
      <c r="H9" s="5" t="n">
        <f aca="false">Resumen!$B$4+7*(F9-1)</f>
        <v>46370</v>
      </c>
      <c r="I9" s="5" t="n">
        <f aca="false">Resumen!$B$4+7*(G9-1)+6</f>
        <v>46383</v>
      </c>
      <c r="J9" s="23" t="s">
        <v>88</v>
      </c>
      <c r="K9" s="24" t="n">
        <v>0</v>
      </c>
      <c r="L9" s="24" t="n">
        <v>0</v>
      </c>
      <c r="M9" s="24" t="n">
        <v>0</v>
      </c>
      <c r="N9" s="23" t="s">
        <v>88</v>
      </c>
      <c r="O9" s="23" t="s">
        <v>88</v>
      </c>
      <c r="P9" s="25" t="str">
        <f aca="false">IFERROR(AVERAGEIFS(Registro!$D$6:$D$500,Registro!$C$6:$C$500,A9),"")</f>
        <v/>
      </c>
      <c r="Q9" s="25" t="n">
        <f aca="false">0.35*K9+0.2*L9+0.45*M9</f>
        <v>0</v>
      </c>
    </row>
    <row r="10" customFormat="false" ht="15" hidden="false" customHeight="false" outlineLevel="0" collapsed="false">
      <c r="A10" s="22" t="s">
        <v>99</v>
      </c>
      <c r="B10" s="22" t="s">
        <v>140</v>
      </c>
      <c r="C10" s="22" t="s">
        <v>142</v>
      </c>
      <c r="D10" s="23" t="n">
        <v>48</v>
      </c>
      <c r="E10" s="22" t="n">
        <f aca="false">ROUND(D10/Resumen!$B$14,0)</f>
        <v>32</v>
      </c>
      <c r="F10" s="23" t="n">
        <v>10</v>
      </c>
      <c r="G10" s="23" t="n">
        <v>12</v>
      </c>
      <c r="H10" s="5" t="n">
        <f aca="false">Resumen!$B$4+7*(F10-1)</f>
        <v>46384</v>
      </c>
      <c r="I10" s="5" t="n">
        <f aca="false">Resumen!$B$4+7*(G10-1)+6</f>
        <v>46404</v>
      </c>
      <c r="J10" s="23" t="s">
        <v>88</v>
      </c>
      <c r="K10" s="24" t="n">
        <v>0</v>
      </c>
      <c r="L10" s="24" t="n">
        <v>0</v>
      </c>
      <c r="M10" s="24" t="n">
        <v>0</v>
      </c>
      <c r="N10" s="23" t="s">
        <v>88</v>
      </c>
      <c r="O10" s="23" t="s">
        <v>88</v>
      </c>
      <c r="P10" s="25" t="str">
        <f aca="false">IFERROR(AVERAGEIFS(Registro!$D$6:$D$500,Registro!$C$6:$C$500,A10),"")</f>
        <v/>
      </c>
      <c r="Q10" s="25" t="n">
        <f aca="false">0.35*K10+0.2*L10+0.45*M10</f>
        <v>0</v>
      </c>
    </row>
    <row r="11" customFormat="false" ht="15" hidden="false" customHeight="false" outlineLevel="0" collapsed="false">
      <c r="A11" s="22" t="s">
        <v>103</v>
      </c>
      <c r="B11" s="22" t="s">
        <v>140</v>
      </c>
      <c r="C11" s="22" t="s">
        <v>142</v>
      </c>
      <c r="D11" s="23" t="n">
        <v>40</v>
      </c>
      <c r="E11" s="22" t="n">
        <f aca="false">ROUND(D11/Resumen!$B$14,0)</f>
        <v>27</v>
      </c>
      <c r="F11" s="23" t="n">
        <v>13</v>
      </c>
      <c r="G11" s="23" t="n">
        <v>15</v>
      </c>
      <c r="H11" s="5" t="n">
        <f aca="false">Resumen!$B$4+7*(F11-1)</f>
        <v>46405</v>
      </c>
      <c r="I11" s="5" t="n">
        <f aca="false">Resumen!$B$4+7*(G11-1)+6</f>
        <v>46425</v>
      </c>
      <c r="J11" s="23" t="s">
        <v>88</v>
      </c>
      <c r="K11" s="24" t="n">
        <v>0</v>
      </c>
      <c r="L11" s="24" t="n">
        <v>0</v>
      </c>
      <c r="M11" s="24" t="n">
        <v>0</v>
      </c>
      <c r="N11" s="23" t="s">
        <v>88</v>
      </c>
      <c r="O11" s="23" t="s">
        <v>88</v>
      </c>
      <c r="P11" s="25" t="str">
        <f aca="false">IFERROR(AVERAGEIFS(Registro!$D$6:$D$500,Registro!$C$6:$C$500,A11),"")</f>
        <v/>
      </c>
      <c r="Q11" s="25" t="n">
        <f aca="false">0.35*K11+0.2*L11+0.45*M11</f>
        <v>0</v>
      </c>
    </row>
    <row r="12" customFormat="false" ht="15" hidden="false" customHeight="false" outlineLevel="0" collapsed="false">
      <c r="A12" s="22" t="s">
        <v>105</v>
      </c>
      <c r="B12" s="22" t="s">
        <v>146</v>
      </c>
      <c r="C12" s="22" t="s">
        <v>142</v>
      </c>
      <c r="D12" s="23" t="n">
        <v>22</v>
      </c>
      <c r="E12" s="22" t="n">
        <f aca="false">ROUND(D12/Resumen!$B$14,0)</f>
        <v>15</v>
      </c>
      <c r="F12" s="23" t="n">
        <v>16</v>
      </c>
      <c r="G12" s="23" t="n">
        <v>17</v>
      </c>
      <c r="H12" s="5" t="n">
        <f aca="false">Resumen!$B$4+7*(F12-1)</f>
        <v>46426</v>
      </c>
      <c r="I12" s="5" t="n">
        <f aca="false">Resumen!$B$4+7*(G12-1)+6</f>
        <v>46439</v>
      </c>
      <c r="J12" s="23" t="s">
        <v>88</v>
      </c>
      <c r="K12" s="24" t="n">
        <v>0</v>
      </c>
      <c r="L12" s="24" t="n">
        <v>0</v>
      </c>
      <c r="M12" s="24" t="n">
        <v>0</v>
      </c>
      <c r="N12" s="23" t="s">
        <v>88</v>
      </c>
      <c r="O12" s="23" t="s">
        <v>88</v>
      </c>
      <c r="P12" s="25" t="str">
        <f aca="false">IFERROR(AVERAGEIFS(Registro!$D$6:$D$500,Registro!$C$6:$C$500,A12),"")</f>
        <v/>
      </c>
      <c r="Q12" s="25" t="n">
        <f aca="false">0.35*K12+0.2*L12+0.45*M12</f>
        <v>0</v>
      </c>
    </row>
    <row r="13" customFormat="false" ht="15" hidden="false" customHeight="false" outlineLevel="0" collapsed="false">
      <c r="A13" s="22" t="s">
        <v>107</v>
      </c>
      <c r="B13" s="22" t="s">
        <v>140</v>
      </c>
      <c r="C13" s="22" t="s">
        <v>142</v>
      </c>
      <c r="D13" s="23" t="n">
        <v>20</v>
      </c>
      <c r="E13" s="22" t="n">
        <f aca="false">ROUND(D13/Resumen!$B$14,0)</f>
        <v>13</v>
      </c>
      <c r="F13" s="23" t="n">
        <v>18</v>
      </c>
      <c r="G13" s="23" t="n">
        <v>19</v>
      </c>
      <c r="H13" s="5" t="n">
        <f aca="false">Resumen!$B$4+7*(F13-1)</f>
        <v>46440</v>
      </c>
      <c r="I13" s="5" t="n">
        <f aca="false">Resumen!$B$4+7*(G13-1)+6</f>
        <v>46453</v>
      </c>
      <c r="J13" s="23" t="s">
        <v>88</v>
      </c>
      <c r="K13" s="24" t="n">
        <v>0</v>
      </c>
      <c r="L13" s="24" t="n">
        <v>0</v>
      </c>
      <c r="M13" s="24" t="n">
        <v>0</v>
      </c>
      <c r="N13" s="23" t="s">
        <v>88</v>
      </c>
      <c r="O13" s="23" t="s">
        <v>88</v>
      </c>
      <c r="P13" s="25" t="str">
        <f aca="false">IFERROR(AVERAGEIFS(Registro!$D$6:$D$500,Registro!$C$6:$C$500,A13),"")</f>
        <v/>
      </c>
      <c r="Q13" s="25" t="n">
        <f aca="false">0.35*K13+0.2*L13+0.45*M13</f>
        <v>0</v>
      </c>
    </row>
    <row r="14" customFormat="false" ht="15" hidden="false" customHeight="false" outlineLevel="0" collapsed="false">
      <c r="A14" s="22" t="s">
        <v>108</v>
      </c>
      <c r="B14" s="22" t="s">
        <v>145</v>
      </c>
      <c r="C14" s="22" t="s">
        <v>141</v>
      </c>
      <c r="D14" s="23" t="n">
        <v>36</v>
      </c>
      <c r="E14" s="22" t="n">
        <f aca="false">ROUND(D14/Resumen!$B$14,0)</f>
        <v>24</v>
      </c>
      <c r="F14" s="23" t="n">
        <v>20</v>
      </c>
      <c r="G14" s="23" t="n">
        <v>22</v>
      </c>
      <c r="H14" s="5" t="n">
        <f aca="false">Resumen!$B$4+7*(F14-1)</f>
        <v>46454</v>
      </c>
      <c r="I14" s="5" t="n">
        <f aca="false">Resumen!$B$4+7*(G14-1)+6</f>
        <v>46474</v>
      </c>
      <c r="J14" s="23" t="s">
        <v>88</v>
      </c>
      <c r="K14" s="24" t="n">
        <v>0</v>
      </c>
      <c r="L14" s="24" t="n">
        <v>0</v>
      </c>
      <c r="M14" s="24" t="n">
        <v>0</v>
      </c>
      <c r="N14" s="23" t="s">
        <v>88</v>
      </c>
      <c r="O14" s="23" t="s">
        <v>88</v>
      </c>
      <c r="P14" s="25" t="str">
        <f aca="false">IFERROR(AVERAGEIFS(Registro!$D$6:$D$500,Registro!$C$6:$C$500,A14),"")</f>
        <v/>
      </c>
      <c r="Q14" s="25" t="n">
        <f aca="false">0.35*K14+0.2*L14+0.45*M14</f>
        <v>0</v>
      </c>
    </row>
    <row r="15" customFormat="false" ht="15" hidden="false" customHeight="false" outlineLevel="0" collapsed="false">
      <c r="A15" s="3" t="s">
        <v>147</v>
      </c>
      <c r="D15" s="3" t="n">
        <f aca="false">SUM(D5:D14)</f>
        <v>316</v>
      </c>
      <c r="E15" s="3" t="n">
        <f aca="false">SUM(E5:E14)</f>
        <v>212</v>
      </c>
      <c r="Q15" s="26" t="n">
        <f aca="false">AVERAGE(Q5:Q14)</f>
        <v>0</v>
      </c>
    </row>
    <row r="17" customFormat="false" ht="15" hidden="false" customHeight="false" outlineLevel="0" collapsed="false">
      <c r="A17" s="2" t="s">
        <v>148</v>
      </c>
    </row>
  </sheetData>
  <dataValidations count="2">
    <dataValidation allowBlank="true" errorStyle="stop" operator="between" showDropDown="false" showErrorMessage="false" showInputMessage="false" sqref="J5:J14 N5:O14" type="list">
      <formula1>"Sí,No"</formula1>
      <formula2>0</formula2>
    </dataValidation>
    <dataValidation allowBlank="true" error="Escribe un valor entre 0% y 100%" errorStyle="stop" errorTitle="Porcentaje" operator="between" showDropDown="false" showErrorMessage="false" showInputMessage="false" sqref="K5:M1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15" t="s">
        <v>151</v>
      </c>
      <c r="B4" s="15" t="s">
        <v>152</v>
      </c>
      <c r="C4" s="15" t="s">
        <v>78</v>
      </c>
      <c r="D4" s="15" t="s">
        <v>153</v>
      </c>
      <c r="E4" s="15" t="s">
        <v>154</v>
      </c>
      <c r="F4" s="15" t="s">
        <v>85</v>
      </c>
    </row>
    <row r="5" customFormat="false" ht="15" hidden="false" customHeight="false" outlineLevel="0" collapsed="false">
      <c r="A5" s="27" t="n">
        <v>46338</v>
      </c>
      <c r="B5" s="28" t="s">
        <v>155</v>
      </c>
      <c r="C5" s="28" t="s">
        <v>91</v>
      </c>
      <c r="D5" s="29" t="n">
        <v>0.55</v>
      </c>
      <c r="E5" s="28" t="n">
        <v>20</v>
      </c>
      <c r="F5" s="28" t="s">
        <v>156</v>
      </c>
    </row>
    <row r="6" customFormat="false" ht="15" hidden="false" customHeight="false" outlineLevel="0" collapsed="false">
      <c r="A6" s="30"/>
      <c r="B6" s="31"/>
      <c r="C6" s="31"/>
      <c r="D6" s="32"/>
      <c r="E6" s="31"/>
      <c r="F6" s="31"/>
    </row>
    <row r="7" customFormat="false" ht="15" hidden="false" customHeight="false" outlineLevel="0" collapsed="false">
      <c r="A7" s="30"/>
      <c r="B7" s="31"/>
      <c r="C7" s="31"/>
      <c r="D7" s="32"/>
      <c r="E7" s="31"/>
      <c r="F7" s="31"/>
    </row>
    <row r="8" customFormat="false" ht="15" hidden="false" customHeight="false" outlineLevel="0" collapsed="false">
      <c r="A8" s="30"/>
      <c r="B8" s="31"/>
      <c r="C8" s="31"/>
      <c r="D8" s="32"/>
      <c r="E8" s="31"/>
      <c r="F8" s="31"/>
    </row>
    <row r="9" customFormat="false" ht="15" hidden="false" customHeight="false" outlineLevel="0" collapsed="false">
      <c r="A9" s="30"/>
      <c r="B9" s="31"/>
      <c r="C9" s="31"/>
      <c r="D9" s="32"/>
      <c r="E9" s="31"/>
      <c r="F9" s="31"/>
    </row>
    <row r="10" customFormat="false" ht="15" hidden="false" customHeight="false" outlineLevel="0" collapsed="false">
      <c r="A10" s="30"/>
      <c r="B10" s="31"/>
      <c r="C10" s="31"/>
      <c r="D10" s="32"/>
      <c r="E10" s="31"/>
      <c r="F10" s="31"/>
    </row>
    <row r="11" customFormat="false" ht="15" hidden="false" customHeight="false" outlineLevel="0" collapsed="false">
      <c r="A11" s="30"/>
      <c r="B11" s="31"/>
      <c r="C11" s="31"/>
      <c r="D11" s="32"/>
      <c r="E11" s="31"/>
      <c r="F11" s="31"/>
    </row>
    <row r="12" customFormat="false" ht="15" hidden="false" customHeight="false" outlineLevel="0" collapsed="false">
      <c r="A12" s="30"/>
      <c r="B12" s="31"/>
      <c r="C12" s="31"/>
      <c r="D12" s="32"/>
      <c r="E12" s="31"/>
      <c r="F12" s="31"/>
    </row>
    <row r="13" customFormat="false" ht="15" hidden="false" customHeight="false" outlineLevel="0" collapsed="false">
      <c r="A13" s="30"/>
      <c r="B13" s="31"/>
      <c r="C13" s="31"/>
      <c r="D13" s="32"/>
      <c r="E13" s="31"/>
      <c r="F13" s="31"/>
    </row>
    <row r="14" customFormat="false" ht="15" hidden="false" customHeight="false" outlineLevel="0" collapsed="false">
      <c r="A14" s="30"/>
      <c r="B14" s="31"/>
      <c r="C14" s="31"/>
      <c r="D14" s="32"/>
      <c r="E14" s="31"/>
      <c r="F14" s="31"/>
    </row>
    <row r="15" customFormat="false" ht="15" hidden="false" customHeight="false" outlineLevel="0" collapsed="false">
      <c r="A15" s="30"/>
      <c r="B15" s="31"/>
      <c r="C15" s="31"/>
      <c r="D15" s="32"/>
      <c r="E15" s="31"/>
      <c r="F15" s="31"/>
    </row>
    <row r="16" customFormat="false" ht="15" hidden="false" customHeight="false" outlineLevel="0" collapsed="false">
      <c r="A16" s="30"/>
      <c r="B16" s="31"/>
      <c r="C16" s="31"/>
      <c r="D16" s="32"/>
      <c r="E16" s="31"/>
      <c r="F16" s="31"/>
    </row>
    <row r="17" customFormat="false" ht="15" hidden="false" customHeight="false" outlineLevel="0" collapsed="false">
      <c r="A17" s="30"/>
      <c r="B17" s="31"/>
      <c r="C17" s="31"/>
      <c r="D17" s="32"/>
      <c r="E17" s="31"/>
      <c r="F17" s="31"/>
    </row>
    <row r="18" customFormat="false" ht="15" hidden="false" customHeight="false" outlineLevel="0" collapsed="false">
      <c r="A18" s="30"/>
      <c r="B18" s="31"/>
      <c r="C18" s="31"/>
      <c r="D18" s="32"/>
      <c r="E18" s="31"/>
      <c r="F18" s="31"/>
    </row>
    <row r="19" customFormat="false" ht="15" hidden="false" customHeight="false" outlineLevel="0" collapsed="false">
      <c r="A19" s="30"/>
      <c r="B19" s="31"/>
      <c r="C19" s="31"/>
      <c r="D19" s="32"/>
      <c r="E19" s="31"/>
      <c r="F19" s="31"/>
    </row>
    <row r="20" customFormat="false" ht="15" hidden="false" customHeight="false" outlineLevel="0" collapsed="false">
      <c r="A20" s="30"/>
      <c r="B20" s="31"/>
      <c r="C20" s="31"/>
      <c r="D20" s="32"/>
      <c r="E20" s="31"/>
      <c r="F20" s="31"/>
    </row>
    <row r="21" customFormat="false" ht="15" hidden="false" customHeight="false" outlineLevel="0" collapsed="false">
      <c r="A21" s="30"/>
      <c r="B21" s="31"/>
      <c r="C21" s="31"/>
      <c r="D21" s="32"/>
      <c r="E21" s="31"/>
      <c r="F21" s="31"/>
    </row>
    <row r="22" customFormat="false" ht="15" hidden="false" customHeight="false" outlineLevel="0" collapsed="false">
      <c r="A22" s="30"/>
      <c r="B22" s="31"/>
      <c r="C22" s="31"/>
      <c r="D22" s="32"/>
      <c r="E22" s="31"/>
      <c r="F22" s="31"/>
    </row>
    <row r="23" customFormat="false" ht="15" hidden="false" customHeight="false" outlineLevel="0" collapsed="false">
      <c r="A23" s="30"/>
      <c r="B23" s="31"/>
      <c r="C23" s="31"/>
      <c r="D23" s="32"/>
      <c r="E23" s="31"/>
      <c r="F23" s="31"/>
    </row>
    <row r="24" customFormat="false" ht="15" hidden="false" customHeight="false" outlineLevel="0" collapsed="false">
      <c r="A24" s="30"/>
      <c r="B24" s="31"/>
      <c r="C24" s="31"/>
      <c r="D24" s="32"/>
      <c r="E24" s="31"/>
      <c r="F24" s="31"/>
    </row>
    <row r="25" customFormat="false" ht="15" hidden="false" customHeight="false" outlineLevel="0" collapsed="false">
      <c r="A25" s="30"/>
      <c r="B25" s="31"/>
      <c r="C25" s="31"/>
      <c r="D25" s="32"/>
      <c r="E25" s="31"/>
      <c r="F25" s="31"/>
    </row>
    <row r="26" customFormat="false" ht="15" hidden="false" customHeight="false" outlineLevel="0" collapsed="false">
      <c r="A26" s="30"/>
      <c r="B26" s="31"/>
      <c r="C26" s="31"/>
      <c r="D26" s="32"/>
      <c r="E26" s="31"/>
      <c r="F26" s="31"/>
    </row>
    <row r="27" customFormat="false" ht="15" hidden="false" customHeight="false" outlineLevel="0" collapsed="false">
      <c r="A27" s="30"/>
      <c r="B27" s="31"/>
      <c r="C27" s="31"/>
      <c r="D27" s="32"/>
      <c r="E27" s="31"/>
      <c r="F27" s="31"/>
    </row>
    <row r="28" customFormat="false" ht="15" hidden="false" customHeight="false" outlineLevel="0" collapsed="false">
      <c r="A28" s="30"/>
      <c r="B28" s="31"/>
      <c r="C28" s="31"/>
      <c r="D28" s="32"/>
      <c r="E28" s="31"/>
      <c r="F28" s="31"/>
    </row>
    <row r="29" customFormat="false" ht="15" hidden="false" customHeight="false" outlineLevel="0" collapsed="false">
      <c r="A29" s="30"/>
      <c r="B29" s="31"/>
      <c r="C29" s="31"/>
      <c r="D29" s="32"/>
      <c r="E29" s="31"/>
      <c r="F29" s="31"/>
    </row>
    <row r="30" customFormat="false" ht="15" hidden="false" customHeight="false" outlineLevel="0" collapsed="false">
      <c r="A30" s="30"/>
      <c r="B30" s="31"/>
      <c r="C30" s="31"/>
      <c r="D30" s="32"/>
      <c r="E30" s="31"/>
      <c r="F30" s="31"/>
    </row>
    <row r="31" customFormat="false" ht="15" hidden="false" customHeight="false" outlineLevel="0" collapsed="false">
      <c r="A31" s="30"/>
      <c r="B31" s="31"/>
      <c r="C31" s="31"/>
      <c r="D31" s="32"/>
      <c r="E31" s="31"/>
      <c r="F31" s="31"/>
    </row>
    <row r="32" customFormat="false" ht="15" hidden="false" customHeight="false" outlineLevel="0" collapsed="false">
      <c r="A32" s="30"/>
      <c r="B32" s="31"/>
      <c r="C32" s="31"/>
      <c r="D32" s="32"/>
      <c r="E32" s="31"/>
      <c r="F32" s="31"/>
    </row>
    <row r="33" customFormat="false" ht="15" hidden="false" customHeight="false" outlineLevel="0" collapsed="false">
      <c r="A33" s="30"/>
      <c r="B33" s="31"/>
      <c r="C33" s="31"/>
      <c r="D33" s="32"/>
      <c r="E33" s="31"/>
      <c r="F33" s="31"/>
    </row>
    <row r="34" customFormat="false" ht="15" hidden="false" customHeight="false" outlineLevel="0" collapsed="false">
      <c r="A34" s="30"/>
      <c r="B34" s="31"/>
      <c r="C34" s="31"/>
      <c r="D34" s="32"/>
      <c r="E34" s="31"/>
      <c r="F34" s="31"/>
    </row>
    <row r="35" customFormat="false" ht="15" hidden="false" customHeight="false" outlineLevel="0" collapsed="false">
      <c r="A35" s="30"/>
      <c r="B35" s="31"/>
      <c r="C35" s="31"/>
      <c r="D35" s="32"/>
      <c r="E35" s="31"/>
      <c r="F35" s="31"/>
    </row>
    <row r="36" customFormat="false" ht="15" hidden="false" customHeight="false" outlineLevel="0" collapsed="false">
      <c r="A36" s="30"/>
      <c r="B36" s="31"/>
      <c r="C36" s="31"/>
      <c r="D36" s="32"/>
      <c r="E36" s="31"/>
      <c r="F36" s="31"/>
    </row>
    <row r="37" customFormat="false" ht="15" hidden="false" customHeight="false" outlineLevel="0" collapsed="false">
      <c r="A37" s="30"/>
      <c r="B37" s="31"/>
      <c r="C37" s="31"/>
      <c r="D37" s="32"/>
      <c r="E37" s="31"/>
      <c r="F37" s="31"/>
    </row>
    <row r="38" customFormat="false" ht="15" hidden="false" customHeight="false" outlineLevel="0" collapsed="false">
      <c r="A38" s="30"/>
      <c r="B38" s="31"/>
      <c r="C38" s="31"/>
      <c r="D38" s="32"/>
      <c r="E38" s="31"/>
      <c r="F38" s="31"/>
    </row>
    <row r="39" customFormat="false" ht="15" hidden="false" customHeight="false" outlineLevel="0" collapsed="false">
      <c r="A39" s="30"/>
      <c r="B39" s="31"/>
      <c r="C39" s="31"/>
      <c r="D39" s="32"/>
      <c r="E39" s="31"/>
      <c r="F39" s="31"/>
    </row>
    <row r="40" customFormat="false" ht="15" hidden="false" customHeight="false" outlineLevel="0" collapsed="false">
      <c r="A40" s="30"/>
      <c r="B40" s="31"/>
      <c r="C40" s="31"/>
      <c r="D40" s="32"/>
      <c r="E40" s="31"/>
      <c r="F40" s="31"/>
    </row>
    <row r="41" customFormat="false" ht="15" hidden="false" customHeight="false" outlineLevel="0" collapsed="false">
      <c r="A41" s="30"/>
      <c r="B41" s="31"/>
      <c r="C41" s="31"/>
      <c r="D41" s="32"/>
      <c r="E41" s="31"/>
      <c r="F41" s="31"/>
    </row>
    <row r="42" customFormat="false" ht="15" hidden="false" customHeight="false" outlineLevel="0" collapsed="false">
      <c r="A42" s="30"/>
      <c r="B42" s="31"/>
      <c r="C42" s="31"/>
      <c r="D42" s="32"/>
      <c r="E42" s="31"/>
      <c r="F42" s="31"/>
    </row>
    <row r="43" customFormat="false" ht="15" hidden="false" customHeight="false" outlineLevel="0" collapsed="false">
      <c r="A43" s="30"/>
      <c r="B43" s="31"/>
      <c r="C43" s="31"/>
      <c r="D43" s="32"/>
      <c r="E43" s="31"/>
      <c r="F43" s="31"/>
    </row>
    <row r="44" customFormat="false" ht="15" hidden="false" customHeight="false" outlineLevel="0" collapsed="false">
      <c r="A44" s="30"/>
      <c r="B44" s="31"/>
      <c r="C44" s="31"/>
      <c r="D44" s="32"/>
      <c r="E44" s="31"/>
      <c r="F44" s="31"/>
    </row>
    <row r="45" customFormat="false" ht="15" hidden="false" customHeight="false" outlineLevel="0" collapsed="false">
      <c r="A45" s="30"/>
      <c r="B45" s="31"/>
      <c r="C45" s="31"/>
      <c r="D45" s="32"/>
      <c r="E45" s="31"/>
      <c r="F45" s="31"/>
    </row>
    <row r="46" customFormat="false" ht="15" hidden="false" customHeight="false" outlineLevel="0" collapsed="false">
      <c r="A46" s="30"/>
      <c r="B46" s="31"/>
      <c r="C46" s="31"/>
      <c r="D46" s="32"/>
      <c r="E46" s="31"/>
      <c r="F46" s="31"/>
    </row>
    <row r="47" customFormat="false" ht="15" hidden="false" customHeight="false" outlineLevel="0" collapsed="false">
      <c r="A47" s="30"/>
      <c r="B47" s="31"/>
      <c r="C47" s="31"/>
      <c r="D47" s="32"/>
      <c r="E47" s="31"/>
      <c r="F47" s="31"/>
    </row>
    <row r="48" customFormat="false" ht="15" hidden="false" customHeight="false" outlineLevel="0" collapsed="false">
      <c r="A48" s="30"/>
      <c r="B48" s="31"/>
      <c r="C48" s="31"/>
      <c r="D48" s="32"/>
      <c r="E48" s="31"/>
      <c r="F48" s="31"/>
    </row>
    <row r="49" customFormat="false" ht="15" hidden="false" customHeight="false" outlineLevel="0" collapsed="false">
      <c r="A49" s="30"/>
      <c r="B49" s="31"/>
      <c r="C49" s="31"/>
      <c r="D49" s="32"/>
      <c r="E49" s="31"/>
      <c r="F49" s="31"/>
    </row>
    <row r="50" customFormat="false" ht="15" hidden="false" customHeight="false" outlineLevel="0" collapsed="false">
      <c r="A50" s="30"/>
      <c r="B50" s="31"/>
      <c r="C50" s="31"/>
      <c r="D50" s="32"/>
      <c r="E50" s="31"/>
      <c r="F50" s="31"/>
    </row>
    <row r="51" customFormat="false" ht="15" hidden="false" customHeight="false" outlineLevel="0" collapsed="false">
      <c r="A51" s="30"/>
      <c r="B51" s="31"/>
      <c r="C51" s="31"/>
      <c r="D51" s="32"/>
      <c r="E51" s="31"/>
      <c r="F51" s="31"/>
    </row>
    <row r="52" customFormat="false" ht="15" hidden="false" customHeight="false" outlineLevel="0" collapsed="false">
      <c r="A52" s="30"/>
      <c r="B52" s="31"/>
      <c r="C52" s="31"/>
      <c r="D52" s="32"/>
      <c r="E52" s="31"/>
      <c r="F52" s="31"/>
    </row>
    <row r="53" customFormat="false" ht="15" hidden="false" customHeight="false" outlineLevel="0" collapsed="false">
      <c r="A53" s="30"/>
      <c r="B53" s="31"/>
      <c r="C53" s="31"/>
      <c r="D53" s="32"/>
      <c r="E53" s="31"/>
      <c r="F53" s="31"/>
    </row>
    <row r="54" customFormat="false" ht="15" hidden="false" customHeight="false" outlineLevel="0" collapsed="false">
      <c r="A54" s="30"/>
      <c r="B54" s="31"/>
      <c r="C54" s="31"/>
      <c r="D54" s="32"/>
      <c r="E54" s="31"/>
      <c r="F54" s="31"/>
    </row>
    <row r="55" customFormat="false" ht="15" hidden="false" customHeight="false" outlineLevel="0" collapsed="false">
      <c r="A55" s="30"/>
      <c r="B55" s="31"/>
      <c r="C55" s="31"/>
      <c r="D55" s="32"/>
      <c r="E55" s="31"/>
      <c r="F55" s="31"/>
    </row>
    <row r="56" customFormat="false" ht="15" hidden="false" customHeight="false" outlineLevel="0" collapsed="false">
      <c r="A56" s="30"/>
      <c r="B56" s="31"/>
      <c r="C56" s="31"/>
      <c r="D56" s="32"/>
      <c r="E56" s="31"/>
      <c r="F56" s="31"/>
    </row>
    <row r="57" customFormat="false" ht="15" hidden="false" customHeight="false" outlineLevel="0" collapsed="false">
      <c r="A57" s="30"/>
      <c r="B57" s="31"/>
      <c r="C57" s="31"/>
      <c r="D57" s="32"/>
      <c r="E57" s="31"/>
      <c r="F57" s="31"/>
    </row>
    <row r="58" customFormat="false" ht="15" hidden="false" customHeight="false" outlineLevel="0" collapsed="false">
      <c r="A58" s="30"/>
      <c r="B58" s="31"/>
      <c r="C58" s="31"/>
      <c r="D58" s="32"/>
      <c r="E58" s="31"/>
      <c r="F58" s="31"/>
    </row>
    <row r="59" customFormat="false" ht="15" hidden="false" customHeight="false" outlineLevel="0" collapsed="false">
      <c r="A59" s="30"/>
      <c r="B59" s="31"/>
      <c r="C59" s="31"/>
      <c r="D59" s="32"/>
      <c r="E59" s="31"/>
      <c r="F59" s="31"/>
    </row>
    <row r="60" customFormat="false" ht="15" hidden="false" customHeight="false" outlineLevel="0" collapsed="false">
      <c r="A60" s="30"/>
      <c r="B60" s="31"/>
      <c r="C60" s="31"/>
      <c r="D60" s="32"/>
      <c r="E60" s="31"/>
      <c r="F60" s="31"/>
    </row>
    <row r="61" customFormat="false" ht="15" hidden="false" customHeight="false" outlineLevel="0" collapsed="false">
      <c r="A61" s="30"/>
      <c r="B61" s="31"/>
      <c r="C61" s="31"/>
      <c r="D61" s="32"/>
      <c r="E61" s="31"/>
      <c r="F61" s="31"/>
    </row>
    <row r="62" customFormat="false" ht="15" hidden="false" customHeight="false" outlineLevel="0" collapsed="false">
      <c r="A62" s="30"/>
      <c r="B62" s="31"/>
      <c r="C62" s="31"/>
      <c r="D62" s="32"/>
      <c r="E62" s="31"/>
      <c r="F62" s="31"/>
    </row>
    <row r="63" customFormat="false" ht="15" hidden="false" customHeight="false" outlineLevel="0" collapsed="false">
      <c r="A63" s="30"/>
      <c r="B63" s="31"/>
      <c r="C63" s="31"/>
      <c r="D63" s="32"/>
      <c r="E63" s="31"/>
      <c r="F63" s="31"/>
    </row>
    <row r="64" customFormat="false" ht="15" hidden="false" customHeight="false" outlineLevel="0" collapsed="false">
      <c r="A64" s="30"/>
      <c r="B64" s="31"/>
      <c r="C64" s="31"/>
      <c r="D64" s="32"/>
      <c r="E64" s="31"/>
      <c r="F64" s="31"/>
    </row>
    <row r="65" customFormat="false" ht="15" hidden="false" customHeight="false" outlineLevel="0" collapsed="false">
      <c r="A65" s="30"/>
      <c r="B65" s="31"/>
      <c r="C65" s="31"/>
      <c r="D65" s="32"/>
      <c r="E65" s="31"/>
      <c r="F65" s="31"/>
    </row>
    <row r="66" customFormat="false" ht="15" hidden="false" customHeight="false" outlineLevel="0" collapsed="false">
      <c r="A66" s="30"/>
      <c r="B66" s="31"/>
      <c r="C66" s="31"/>
      <c r="D66" s="32"/>
      <c r="E66" s="31"/>
      <c r="F66" s="31"/>
    </row>
    <row r="67" customFormat="false" ht="15" hidden="false" customHeight="false" outlineLevel="0" collapsed="false">
      <c r="A67" s="30"/>
      <c r="B67" s="31"/>
      <c r="C67" s="31"/>
      <c r="D67" s="32"/>
      <c r="E67" s="31"/>
      <c r="F67" s="31"/>
    </row>
    <row r="68" customFormat="false" ht="15" hidden="false" customHeight="false" outlineLevel="0" collapsed="false">
      <c r="A68" s="30"/>
      <c r="B68" s="31"/>
      <c r="C68" s="31"/>
      <c r="D68" s="32"/>
      <c r="E68" s="31"/>
      <c r="F68" s="31"/>
    </row>
    <row r="69" customFormat="false" ht="15" hidden="false" customHeight="false" outlineLevel="0" collapsed="false">
      <c r="A69" s="30"/>
      <c r="B69" s="31"/>
      <c r="C69" s="31"/>
      <c r="D69" s="32"/>
      <c r="E69" s="31"/>
      <c r="F69" s="31"/>
    </row>
    <row r="70" customFormat="false" ht="15" hidden="false" customHeight="false" outlineLevel="0" collapsed="false">
      <c r="A70" s="30"/>
      <c r="B70" s="31"/>
      <c r="C70" s="31"/>
      <c r="D70" s="32"/>
      <c r="E70" s="31"/>
      <c r="F70" s="31"/>
    </row>
    <row r="71" customFormat="false" ht="15" hidden="false" customHeight="false" outlineLevel="0" collapsed="false">
      <c r="A71" s="30"/>
      <c r="B71" s="31"/>
      <c r="C71" s="31"/>
      <c r="D71" s="32"/>
      <c r="E71" s="31"/>
      <c r="F71" s="31"/>
    </row>
    <row r="72" customFormat="false" ht="15" hidden="false" customHeight="false" outlineLevel="0" collapsed="false">
      <c r="A72" s="30"/>
      <c r="B72" s="31"/>
      <c r="C72" s="31"/>
      <c r="D72" s="32"/>
      <c r="E72" s="31"/>
      <c r="F72" s="31"/>
    </row>
    <row r="73" customFormat="false" ht="15" hidden="false" customHeight="false" outlineLevel="0" collapsed="false">
      <c r="A73" s="30"/>
      <c r="B73" s="31"/>
      <c r="C73" s="31"/>
      <c r="D73" s="32"/>
      <c r="E73" s="31"/>
      <c r="F73" s="31"/>
    </row>
    <row r="74" customFormat="false" ht="15" hidden="false" customHeight="false" outlineLevel="0" collapsed="false">
      <c r="A74" s="30"/>
      <c r="B74" s="31"/>
      <c r="C74" s="31"/>
      <c r="D74" s="32"/>
      <c r="E74" s="31"/>
      <c r="F74" s="31"/>
    </row>
    <row r="75" customFormat="false" ht="15" hidden="false" customHeight="false" outlineLevel="0" collapsed="false">
      <c r="A75" s="30"/>
      <c r="B75" s="31"/>
      <c r="C75" s="31"/>
      <c r="D75" s="32"/>
      <c r="E75" s="31"/>
      <c r="F75" s="31"/>
    </row>
    <row r="76" customFormat="false" ht="15" hidden="false" customHeight="false" outlineLevel="0" collapsed="false">
      <c r="A76" s="30"/>
      <c r="B76" s="31"/>
      <c r="C76" s="31"/>
      <c r="D76" s="32"/>
      <c r="E76" s="31"/>
      <c r="F76" s="31"/>
    </row>
    <row r="77" customFormat="false" ht="15" hidden="false" customHeight="false" outlineLevel="0" collapsed="false">
      <c r="A77" s="30"/>
      <c r="B77" s="31"/>
      <c r="C77" s="31"/>
      <c r="D77" s="32"/>
      <c r="E77" s="31"/>
      <c r="F77" s="31"/>
    </row>
    <row r="78" customFormat="false" ht="15" hidden="false" customHeight="false" outlineLevel="0" collapsed="false">
      <c r="A78" s="30"/>
      <c r="B78" s="31"/>
      <c r="C78" s="31"/>
      <c r="D78" s="32"/>
      <c r="E78" s="31"/>
      <c r="F78" s="31"/>
    </row>
    <row r="79" customFormat="false" ht="15" hidden="false" customHeight="false" outlineLevel="0" collapsed="false">
      <c r="A79" s="30"/>
      <c r="B79" s="31"/>
      <c r="C79" s="31"/>
      <c r="D79" s="32"/>
      <c r="E79" s="31"/>
      <c r="F79" s="31"/>
    </row>
    <row r="80" customFormat="false" ht="15" hidden="false" customHeight="false" outlineLevel="0" collapsed="false">
      <c r="A80" s="30"/>
      <c r="B80" s="31"/>
      <c r="C80" s="31"/>
      <c r="D80" s="32"/>
      <c r="E80" s="31"/>
      <c r="F80" s="31"/>
    </row>
    <row r="81" customFormat="false" ht="15" hidden="false" customHeight="false" outlineLevel="0" collapsed="false">
      <c r="A81" s="30"/>
      <c r="B81" s="31"/>
      <c r="C81" s="31"/>
      <c r="D81" s="32"/>
      <c r="E81" s="31"/>
      <c r="F81" s="31"/>
    </row>
    <row r="82" customFormat="false" ht="15" hidden="false" customHeight="false" outlineLevel="0" collapsed="false">
      <c r="A82" s="30"/>
      <c r="B82" s="31"/>
      <c r="C82" s="31"/>
      <c r="D82" s="32"/>
      <c r="E82" s="31"/>
      <c r="F82" s="31"/>
    </row>
    <row r="83" customFormat="false" ht="15" hidden="false" customHeight="false" outlineLevel="0" collapsed="false">
      <c r="A83" s="30"/>
      <c r="B83" s="31"/>
      <c r="C83" s="31"/>
      <c r="D83" s="32"/>
      <c r="E83" s="31"/>
      <c r="F83" s="31"/>
    </row>
    <row r="84" customFormat="false" ht="15" hidden="false" customHeight="false" outlineLevel="0" collapsed="false">
      <c r="A84" s="30"/>
      <c r="B84" s="31"/>
      <c r="C84" s="31"/>
      <c r="D84" s="32"/>
      <c r="E84" s="31"/>
      <c r="F84" s="31"/>
    </row>
    <row r="85" customFormat="false" ht="15" hidden="false" customHeight="false" outlineLevel="0" collapsed="false">
      <c r="A85" s="30"/>
      <c r="B85" s="31"/>
      <c r="C85" s="31"/>
      <c r="D85" s="32"/>
      <c r="E85" s="31"/>
      <c r="F85" s="31"/>
    </row>
    <row r="86" customFormat="false" ht="15" hidden="false" customHeight="false" outlineLevel="0" collapsed="false">
      <c r="A86" s="30"/>
      <c r="B86" s="31"/>
      <c r="C86" s="31"/>
      <c r="D86" s="32"/>
      <c r="E86" s="31"/>
      <c r="F86" s="31"/>
    </row>
    <row r="87" customFormat="false" ht="15" hidden="false" customHeight="false" outlineLevel="0" collapsed="false">
      <c r="A87" s="30"/>
      <c r="B87" s="31"/>
      <c r="C87" s="31"/>
      <c r="D87" s="32"/>
      <c r="E87" s="31"/>
      <c r="F87" s="31"/>
    </row>
    <row r="88" customFormat="false" ht="15" hidden="false" customHeight="false" outlineLevel="0" collapsed="false">
      <c r="A88" s="30"/>
      <c r="B88" s="31"/>
      <c r="C88" s="31"/>
      <c r="D88" s="32"/>
      <c r="E88" s="31"/>
      <c r="F88" s="31"/>
    </row>
    <row r="89" customFormat="false" ht="15" hidden="false" customHeight="false" outlineLevel="0" collapsed="false">
      <c r="A89" s="30"/>
      <c r="B89" s="31"/>
      <c r="C89" s="31"/>
      <c r="D89" s="32"/>
      <c r="E89" s="31"/>
      <c r="F89" s="31"/>
    </row>
    <row r="90" customFormat="false" ht="15" hidden="false" customHeight="false" outlineLevel="0" collapsed="false">
      <c r="A90" s="30"/>
      <c r="B90" s="31"/>
      <c r="C90" s="31"/>
      <c r="D90" s="32"/>
      <c r="E90" s="31"/>
      <c r="F90" s="31"/>
    </row>
    <row r="91" customFormat="false" ht="15" hidden="false" customHeight="false" outlineLevel="0" collapsed="false">
      <c r="A91" s="30"/>
      <c r="B91" s="31"/>
      <c r="C91" s="31"/>
      <c r="D91" s="32"/>
      <c r="E91" s="31"/>
      <c r="F91" s="31"/>
    </row>
    <row r="92" customFormat="false" ht="15" hidden="false" customHeight="false" outlineLevel="0" collapsed="false">
      <c r="A92" s="30"/>
      <c r="B92" s="31"/>
      <c r="C92" s="31"/>
      <c r="D92" s="32"/>
      <c r="E92" s="31"/>
      <c r="F92" s="31"/>
    </row>
    <row r="93" customFormat="false" ht="15" hidden="false" customHeight="false" outlineLevel="0" collapsed="false">
      <c r="A93" s="30"/>
      <c r="B93" s="31"/>
      <c r="C93" s="31"/>
      <c r="D93" s="32"/>
      <c r="E93" s="31"/>
      <c r="F93" s="31"/>
    </row>
    <row r="94" customFormat="false" ht="15" hidden="false" customHeight="false" outlineLevel="0" collapsed="false">
      <c r="A94" s="30"/>
      <c r="B94" s="31"/>
      <c r="C94" s="31"/>
      <c r="D94" s="32"/>
      <c r="E94" s="31"/>
      <c r="F94" s="31"/>
    </row>
    <row r="95" customFormat="false" ht="15" hidden="false" customHeight="false" outlineLevel="0" collapsed="false">
      <c r="A95" s="30"/>
      <c r="B95" s="31"/>
      <c r="C95" s="31"/>
      <c r="D95" s="32"/>
      <c r="E95" s="31"/>
      <c r="F95" s="31"/>
    </row>
    <row r="96" customFormat="false" ht="15" hidden="false" customHeight="false" outlineLevel="0" collapsed="false">
      <c r="A96" s="30"/>
      <c r="B96" s="31"/>
      <c r="C96" s="31"/>
      <c r="D96" s="32"/>
      <c r="E96" s="31"/>
      <c r="F96" s="31"/>
    </row>
    <row r="97" customFormat="false" ht="15" hidden="false" customHeight="false" outlineLevel="0" collapsed="false">
      <c r="A97" s="30"/>
      <c r="B97" s="31"/>
      <c r="C97" s="31"/>
      <c r="D97" s="32"/>
      <c r="E97" s="31"/>
      <c r="F97" s="31"/>
    </row>
    <row r="98" customFormat="false" ht="15" hidden="false" customHeight="false" outlineLevel="0" collapsed="false">
      <c r="A98" s="30"/>
      <c r="B98" s="31"/>
      <c r="C98" s="31"/>
      <c r="D98" s="32"/>
      <c r="E98" s="31"/>
      <c r="F98" s="31"/>
    </row>
    <row r="99" customFormat="false" ht="15" hidden="false" customHeight="false" outlineLevel="0" collapsed="false">
      <c r="A99" s="30"/>
      <c r="B99" s="31"/>
      <c r="C99" s="31"/>
      <c r="D99" s="32"/>
      <c r="E99" s="31"/>
      <c r="F99" s="31"/>
    </row>
    <row r="100" customFormat="false" ht="15" hidden="false" customHeight="false" outlineLevel="0" collapsed="false">
      <c r="A100" s="30"/>
      <c r="B100" s="31"/>
      <c r="C100" s="31"/>
      <c r="D100" s="32"/>
      <c r="E100" s="31"/>
      <c r="F100" s="31"/>
    </row>
    <row r="101" customFormat="false" ht="15" hidden="false" customHeight="false" outlineLevel="0" collapsed="false">
      <c r="A101" s="30"/>
      <c r="B101" s="31"/>
      <c r="C101" s="31"/>
      <c r="D101" s="32"/>
      <c r="E101" s="31"/>
      <c r="F101" s="31"/>
    </row>
    <row r="102" customFormat="false" ht="15" hidden="false" customHeight="false" outlineLevel="0" collapsed="false">
      <c r="A102" s="30"/>
      <c r="B102" s="31"/>
      <c r="C102" s="31"/>
      <c r="D102" s="32"/>
      <c r="E102" s="31"/>
      <c r="F102" s="31"/>
    </row>
    <row r="103" customFormat="false" ht="15" hidden="false" customHeight="false" outlineLevel="0" collapsed="false">
      <c r="A103" s="30"/>
      <c r="B103" s="31"/>
      <c r="C103" s="31"/>
      <c r="D103" s="32"/>
      <c r="E103" s="31"/>
      <c r="F103" s="31"/>
    </row>
    <row r="104" customFormat="false" ht="15" hidden="false" customHeight="false" outlineLevel="0" collapsed="false">
      <c r="A104" s="30"/>
      <c r="B104" s="31"/>
      <c r="C104" s="31"/>
      <c r="D104" s="32"/>
      <c r="E104" s="31"/>
      <c r="F104" s="31"/>
    </row>
    <row r="105" customFormat="false" ht="15" hidden="false" customHeight="false" outlineLevel="0" collapsed="false">
      <c r="A105" s="30"/>
      <c r="B105" s="31"/>
      <c r="C105" s="31"/>
      <c r="D105" s="32"/>
      <c r="E105" s="31"/>
      <c r="F105" s="31"/>
    </row>
    <row r="106" customFormat="false" ht="15" hidden="false" customHeight="false" outlineLevel="0" collapsed="false">
      <c r="A106" s="30"/>
      <c r="B106" s="31"/>
      <c r="C106" s="31"/>
      <c r="D106" s="32"/>
      <c r="E106" s="31"/>
      <c r="F106" s="31"/>
    </row>
    <row r="107" customFormat="false" ht="15" hidden="false" customHeight="false" outlineLevel="0" collapsed="false">
      <c r="A107" s="30"/>
      <c r="B107" s="31"/>
      <c r="C107" s="31"/>
      <c r="D107" s="32"/>
      <c r="E107" s="31"/>
      <c r="F107" s="31"/>
    </row>
    <row r="108" customFormat="false" ht="15" hidden="false" customHeight="false" outlineLevel="0" collapsed="false">
      <c r="A108" s="30"/>
      <c r="B108" s="31"/>
      <c r="C108" s="31"/>
      <c r="D108" s="32"/>
      <c r="E108" s="31"/>
      <c r="F108" s="31"/>
    </row>
    <row r="109" customFormat="false" ht="15" hidden="false" customHeight="false" outlineLevel="0" collapsed="false">
      <c r="A109" s="30"/>
      <c r="B109" s="31"/>
      <c r="C109" s="31"/>
      <c r="D109" s="32"/>
      <c r="E109" s="31"/>
      <c r="F109" s="31"/>
    </row>
    <row r="110" customFormat="false" ht="15" hidden="false" customHeight="false" outlineLevel="0" collapsed="false">
      <c r="A110" s="30"/>
      <c r="B110" s="31"/>
      <c r="C110" s="31"/>
      <c r="D110" s="32"/>
      <c r="E110" s="31"/>
      <c r="F110" s="31"/>
    </row>
    <row r="111" customFormat="false" ht="15" hidden="false" customHeight="false" outlineLevel="0" collapsed="false">
      <c r="A111" s="30"/>
      <c r="B111" s="31"/>
      <c r="C111" s="31"/>
      <c r="D111" s="32"/>
      <c r="E111" s="31"/>
      <c r="F111" s="31"/>
    </row>
    <row r="112" customFormat="false" ht="15" hidden="false" customHeight="false" outlineLevel="0" collapsed="false">
      <c r="A112" s="30"/>
      <c r="B112" s="31"/>
      <c r="C112" s="31"/>
      <c r="D112" s="32"/>
      <c r="E112" s="31"/>
      <c r="F112" s="31"/>
    </row>
    <row r="113" customFormat="false" ht="15" hidden="false" customHeight="false" outlineLevel="0" collapsed="false">
      <c r="A113" s="30"/>
      <c r="B113" s="31"/>
      <c r="C113" s="31"/>
      <c r="D113" s="32"/>
      <c r="E113" s="31"/>
      <c r="F113" s="31"/>
    </row>
    <row r="114" customFormat="false" ht="15" hidden="false" customHeight="false" outlineLevel="0" collapsed="false">
      <c r="A114" s="30"/>
      <c r="B114" s="31"/>
      <c r="C114" s="31"/>
      <c r="D114" s="32"/>
      <c r="E114" s="31"/>
      <c r="F114" s="31"/>
    </row>
    <row r="115" customFormat="false" ht="15" hidden="false" customHeight="false" outlineLevel="0" collapsed="false">
      <c r="A115" s="30"/>
      <c r="B115" s="31"/>
      <c r="C115" s="31"/>
      <c r="D115" s="32"/>
      <c r="E115" s="31"/>
      <c r="F115" s="31"/>
    </row>
    <row r="116" customFormat="false" ht="15" hidden="false" customHeight="false" outlineLevel="0" collapsed="false">
      <c r="A116" s="30"/>
      <c r="B116" s="31"/>
      <c r="C116" s="31"/>
      <c r="D116" s="32"/>
      <c r="E116" s="31"/>
      <c r="F116" s="31"/>
    </row>
    <row r="117" customFormat="false" ht="15" hidden="false" customHeight="false" outlineLevel="0" collapsed="false">
      <c r="A117" s="30"/>
      <c r="B117" s="31"/>
      <c r="C117" s="31"/>
      <c r="D117" s="32"/>
      <c r="E117" s="31"/>
      <c r="F117" s="31"/>
    </row>
    <row r="118" customFormat="false" ht="15" hidden="false" customHeight="false" outlineLevel="0" collapsed="false">
      <c r="A118" s="30"/>
      <c r="B118" s="31"/>
      <c r="C118" s="31"/>
      <c r="D118" s="32"/>
      <c r="E118" s="31"/>
      <c r="F118" s="31"/>
    </row>
    <row r="119" customFormat="false" ht="15" hidden="false" customHeight="false" outlineLevel="0" collapsed="false">
      <c r="A119" s="30"/>
      <c r="B119" s="31"/>
      <c r="C119" s="31"/>
      <c r="D119" s="32"/>
      <c r="E119" s="31"/>
      <c r="F119" s="31"/>
    </row>
    <row r="120" customFormat="false" ht="15" hidden="false" customHeight="false" outlineLevel="0" collapsed="false">
      <c r="A120" s="30"/>
      <c r="B120" s="31"/>
      <c r="C120" s="31"/>
      <c r="D120" s="32"/>
      <c r="E120" s="31"/>
      <c r="F120" s="31"/>
    </row>
    <row r="121" customFormat="false" ht="15" hidden="false" customHeight="false" outlineLevel="0" collapsed="false">
      <c r="A121" s="30"/>
      <c r="B121" s="31"/>
      <c r="C121" s="31"/>
      <c r="D121" s="32"/>
      <c r="E121" s="31"/>
      <c r="F121" s="31"/>
    </row>
    <row r="122" customFormat="false" ht="15" hidden="false" customHeight="false" outlineLevel="0" collapsed="false">
      <c r="A122" s="30"/>
      <c r="B122" s="31"/>
      <c r="C122" s="31"/>
      <c r="D122" s="32"/>
      <c r="E122" s="31"/>
      <c r="F122" s="31"/>
    </row>
    <row r="123" customFormat="false" ht="15" hidden="false" customHeight="false" outlineLevel="0" collapsed="false">
      <c r="A123" s="30"/>
      <c r="B123" s="31"/>
      <c r="C123" s="31"/>
      <c r="D123" s="32"/>
      <c r="E123" s="31"/>
      <c r="F123" s="31"/>
    </row>
    <row r="124" customFormat="false" ht="15" hidden="false" customHeight="false" outlineLevel="0" collapsed="false">
      <c r="A124" s="30"/>
      <c r="B124" s="31"/>
      <c r="C124" s="31"/>
      <c r="D124" s="32"/>
      <c r="E124" s="31"/>
      <c r="F124" s="31"/>
    </row>
    <row r="125" customFormat="false" ht="15" hidden="false" customHeight="false" outlineLevel="0" collapsed="false">
      <c r="A125" s="30"/>
      <c r="B125" s="31"/>
      <c r="C125" s="31"/>
      <c r="D125" s="32"/>
      <c r="E125" s="31"/>
      <c r="F125" s="31"/>
    </row>
    <row r="126" customFormat="false" ht="15" hidden="false" customHeight="false" outlineLevel="0" collapsed="false">
      <c r="A126" s="30"/>
      <c r="B126" s="31"/>
      <c r="C126" s="31"/>
      <c r="D126" s="32"/>
      <c r="E126" s="31"/>
      <c r="F126" s="31"/>
    </row>
    <row r="127" customFormat="false" ht="15" hidden="false" customHeight="false" outlineLevel="0" collapsed="false">
      <c r="A127" s="30"/>
      <c r="B127" s="31"/>
      <c r="C127" s="31"/>
      <c r="D127" s="32"/>
      <c r="E127" s="31"/>
      <c r="F127" s="31"/>
    </row>
    <row r="128" customFormat="false" ht="15" hidden="false" customHeight="false" outlineLevel="0" collapsed="false">
      <c r="A128" s="30"/>
      <c r="B128" s="31"/>
      <c r="C128" s="31"/>
      <c r="D128" s="32"/>
      <c r="E128" s="31"/>
      <c r="F128" s="31"/>
    </row>
    <row r="129" customFormat="false" ht="15" hidden="false" customHeight="false" outlineLevel="0" collapsed="false">
      <c r="A129" s="30"/>
      <c r="B129" s="31"/>
      <c r="C129" s="31"/>
      <c r="D129" s="32"/>
      <c r="E129" s="31"/>
      <c r="F129" s="31"/>
    </row>
    <row r="130" customFormat="false" ht="15" hidden="false" customHeight="false" outlineLevel="0" collapsed="false">
      <c r="A130" s="30"/>
      <c r="B130" s="31"/>
      <c r="C130" s="31"/>
      <c r="D130" s="32"/>
      <c r="E130" s="31"/>
      <c r="F130" s="31"/>
    </row>
    <row r="131" customFormat="false" ht="15" hidden="false" customHeight="false" outlineLevel="0" collapsed="false">
      <c r="A131" s="30"/>
      <c r="B131" s="31"/>
      <c r="C131" s="31"/>
      <c r="D131" s="32"/>
      <c r="E131" s="31"/>
      <c r="F131" s="31"/>
    </row>
    <row r="132" customFormat="false" ht="15" hidden="false" customHeight="false" outlineLevel="0" collapsed="false">
      <c r="A132" s="30"/>
      <c r="B132" s="31"/>
      <c r="C132" s="31"/>
      <c r="D132" s="32"/>
      <c r="E132" s="31"/>
      <c r="F132" s="31"/>
    </row>
    <row r="133" customFormat="false" ht="15" hidden="false" customHeight="false" outlineLevel="0" collapsed="false">
      <c r="A133" s="30"/>
      <c r="B133" s="31"/>
      <c r="C133" s="31"/>
      <c r="D133" s="32"/>
      <c r="E133" s="31"/>
      <c r="F133" s="31"/>
    </row>
    <row r="134" customFormat="false" ht="15" hidden="false" customHeight="false" outlineLevel="0" collapsed="false">
      <c r="A134" s="30"/>
      <c r="B134" s="31"/>
      <c r="C134" s="31"/>
      <c r="D134" s="32"/>
      <c r="E134" s="31"/>
      <c r="F134" s="31"/>
    </row>
    <row r="135" customFormat="false" ht="15" hidden="false" customHeight="false" outlineLevel="0" collapsed="false">
      <c r="A135" s="30"/>
      <c r="B135" s="31"/>
      <c r="C135" s="31"/>
      <c r="D135" s="32"/>
      <c r="E135" s="31"/>
      <c r="F135" s="31"/>
    </row>
    <row r="136" customFormat="false" ht="15" hidden="false" customHeight="false" outlineLevel="0" collapsed="false">
      <c r="A136" s="30"/>
      <c r="B136" s="31"/>
      <c r="C136" s="31"/>
      <c r="D136" s="32"/>
      <c r="E136" s="31"/>
      <c r="F136" s="31"/>
    </row>
    <row r="137" customFormat="false" ht="15" hidden="false" customHeight="false" outlineLevel="0" collapsed="false">
      <c r="A137" s="30"/>
      <c r="B137" s="31"/>
      <c r="C137" s="31"/>
      <c r="D137" s="32"/>
      <c r="E137" s="31"/>
      <c r="F137" s="31"/>
    </row>
    <row r="138" customFormat="false" ht="15" hidden="false" customHeight="false" outlineLevel="0" collapsed="false">
      <c r="A138" s="30"/>
      <c r="B138" s="31"/>
      <c r="C138" s="31"/>
      <c r="D138" s="32"/>
      <c r="E138" s="31"/>
      <c r="F138" s="31"/>
    </row>
    <row r="139" customFormat="false" ht="15" hidden="false" customHeight="false" outlineLevel="0" collapsed="false">
      <c r="A139" s="30"/>
      <c r="B139" s="31"/>
      <c r="C139" s="31"/>
      <c r="D139" s="32"/>
      <c r="E139" s="31"/>
      <c r="F139" s="31"/>
    </row>
    <row r="140" customFormat="false" ht="15" hidden="false" customHeight="false" outlineLevel="0" collapsed="false">
      <c r="A140" s="30"/>
      <c r="B140" s="31"/>
      <c r="C140" s="31"/>
      <c r="D140" s="32"/>
      <c r="E140" s="31"/>
      <c r="F140" s="31"/>
    </row>
    <row r="141" customFormat="false" ht="15" hidden="false" customHeight="false" outlineLevel="0" collapsed="false">
      <c r="A141" s="30"/>
      <c r="B141" s="31"/>
      <c r="C141" s="31"/>
      <c r="D141" s="32"/>
      <c r="E141" s="31"/>
      <c r="F141" s="31"/>
    </row>
    <row r="142" customFormat="false" ht="15" hidden="false" customHeight="false" outlineLevel="0" collapsed="false">
      <c r="A142" s="30"/>
      <c r="B142" s="31"/>
      <c r="C142" s="31"/>
      <c r="D142" s="32"/>
      <c r="E142" s="31"/>
      <c r="F142" s="31"/>
    </row>
    <row r="143" customFormat="false" ht="15" hidden="false" customHeight="false" outlineLevel="0" collapsed="false">
      <c r="A143" s="30"/>
      <c r="B143" s="31"/>
      <c r="C143" s="31"/>
      <c r="D143" s="32"/>
      <c r="E143" s="31"/>
      <c r="F143" s="31"/>
    </row>
    <row r="144" customFormat="false" ht="15" hidden="false" customHeight="false" outlineLevel="0" collapsed="false">
      <c r="A144" s="30"/>
      <c r="B144" s="31"/>
      <c r="C144" s="31"/>
      <c r="D144" s="32"/>
      <c r="E144" s="31"/>
      <c r="F144" s="31"/>
    </row>
    <row r="145" customFormat="false" ht="15" hidden="false" customHeight="false" outlineLevel="0" collapsed="false">
      <c r="A145" s="30"/>
      <c r="B145" s="31"/>
      <c r="C145" s="31"/>
      <c r="D145" s="32"/>
      <c r="E145" s="31"/>
      <c r="F145" s="31"/>
    </row>
    <row r="146" customFormat="false" ht="15" hidden="false" customHeight="false" outlineLevel="0" collapsed="false">
      <c r="A146" s="30"/>
      <c r="B146" s="31"/>
      <c r="C146" s="31"/>
      <c r="D146" s="32"/>
      <c r="E146" s="31"/>
      <c r="F146" s="31"/>
    </row>
    <row r="147" customFormat="false" ht="15" hidden="false" customHeight="false" outlineLevel="0" collapsed="false">
      <c r="A147" s="30"/>
      <c r="B147" s="31"/>
      <c r="C147" s="31"/>
      <c r="D147" s="32"/>
      <c r="E147" s="31"/>
      <c r="F147" s="31"/>
    </row>
    <row r="148" customFormat="false" ht="15" hidden="false" customHeight="false" outlineLevel="0" collapsed="false">
      <c r="A148" s="30"/>
      <c r="B148" s="31"/>
      <c r="C148" s="31"/>
      <c r="D148" s="32"/>
      <c r="E148" s="31"/>
      <c r="F148" s="31"/>
    </row>
    <row r="149" customFormat="false" ht="15" hidden="false" customHeight="false" outlineLevel="0" collapsed="false">
      <c r="A149" s="30"/>
      <c r="B149" s="31"/>
      <c r="C149" s="31"/>
      <c r="D149" s="32"/>
      <c r="E149" s="31"/>
      <c r="F149" s="31"/>
    </row>
    <row r="150" customFormat="false" ht="15" hidden="false" customHeight="false" outlineLevel="0" collapsed="false">
      <c r="A150" s="30"/>
      <c r="B150" s="31"/>
      <c r="C150" s="31"/>
      <c r="D150" s="32"/>
      <c r="E150" s="31"/>
      <c r="F150" s="31"/>
    </row>
    <row r="151" customFormat="false" ht="15" hidden="false" customHeight="false" outlineLevel="0" collapsed="false">
      <c r="A151" s="30"/>
      <c r="B151" s="31"/>
      <c r="C151" s="31"/>
      <c r="D151" s="32"/>
      <c r="E151" s="31"/>
      <c r="F151" s="31"/>
    </row>
    <row r="152" customFormat="false" ht="15" hidden="false" customHeight="false" outlineLevel="0" collapsed="false">
      <c r="A152" s="30"/>
      <c r="B152" s="31"/>
      <c r="C152" s="31"/>
      <c r="D152" s="32"/>
      <c r="E152" s="31"/>
      <c r="F152" s="31"/>
    </row>
    <row r="153" customFormat="false" ht="15" hidden="false" customHeight="false" outlineLevel="0" collapsed="false">
      <c r="A153" s="30"/>
      <c r="B153" s="31"/>
      <c r="C153" s="31"/>
      <c r="D153" s="32"/>
      <c r="E153" s="31"/>
      <c r="F153" s="31"/>
    </row>
    <row r="154" customFormat="false" ht="15" hidden="false" customHeight="false" outlineLevel="0" collapsed="false">
      <c r="A154" s="30"/>
      <c r="B154" s="31"/>
      <c r="C154" s="31"/>
      <c r="D154" s="32"/>
      <c r="E154" s="31"/>
      <c r="F154" s="31"/>
    </row>
    <row r="155" customFormat="false" ht="15" hidden="false" customHeight="false" outlineLevel="0" collapsed="false">
      <c r="A155" s="30"/>
      <c r="B155" s="31"/>
      <c r="C155" s="31"/>
      <c r="D155" s="32"/>
      <c r="E155" s="31"/>
      <c r="F155" s="31"/>
    </row>
    <row r="156" customFormat="false" ht="15" hidden="false" customHeight="false" outlineLevel="0" collapsed="false">
      <c r="A156" s="30"/>
      <c r="B156" s="31"/>
      <c r="C156" s="31"/>
      <c r="D156" s="32"/>
      <c r="E156" s="31"/>
      <c r="F156" s="31"/>
    </row>
    <row r="157" customFormat="false" ht="15" hidden="false" customHeight="false" outlineLevel="0" collapsed="false">
      <c r="A157" s="30"/>
      <c r="B157" s="31"/>
      <c r="C157" s="31"/>
      <c r="D157" s="32"/>
      <c r="E157" s="31"/>
      <c r="F157" s="31"/>
    </row>
    <row r="158" customFormat="false" ht="15" hidden="false" customHeight="false" outlineLevel="0" collapsed="false">
      <c r="A158" s="30"/>
      <c r="B158" s="31"/>
      <c r="C158" s="31"/>
      <c r="D158" s="32"/>
      <c r="E158" s="31"/>
      <c r="F158" s="31"/>
    </row>
    <row r="159" customFormat="false" ht="15" hidden="false" customHeight="false" outlineLevel="0" collapsed="false">
      <c r="A159" s="30"/>
      <c r="B159" s="31"/>
      <c r="C159" s="31"/>
      <c r="D159" s="32"/>
      <c r="E159" s="31"/>
      <c r="F159" s="31"/>
    </row>
    <row r="160" customFormat="false" ht="15" hidden="false" customHeight="false" outlineLevel="0" collapsed="false">
      <c r="A160" s="30"/>
      <c r="B160" s="31"/>
      <c r="C160" s="31"/>
      <c r="D160" s="32"/>
      <c r="E160" s="31"/>
      <c r="F160" s="31"/>
    </row>
    <row r="161" customFormat="false" ht="15" hidden="false" customHeight="false" outlineLevel="0" collapsed="false">
      <c r="A161" s="30"/>
      <c r="B161" s="31"/>
      <c r="C161" s="31"/>
      <c r="D161" s="32"/>
      <c r="E161" s="31"/>
      <c r="F161" s="31"/>
    </row>
    <row r="162" customFormat="false" ht="15" hidden="false" customHeight="false" outlineLevel="0" collapsed="false">
      <c r="A162" s="30"/>
      <c r="B162" s="31"/>
      <c r="C162" s="31"/>
      <c r="D162" s="32"/>
      <c r="E162" s="31"/>
      <c r="F162" s="31"/>
    </row>
    <row r="163" customFormat="false" ht="15" hidden="false" customHeight="false" outlineLevel="0" collapsed="false">
      <c r="A163" s="30"/>
      <c r="B163" s="31"/>
      <c r="C163" s="31"/>
      <c r="D163" s="32"/>
      <c r="E163" s="31"/>
      <c r="F163" s="31"/>
    </row>
    <row r="164" customFormat="false" ht="15" hidden="false" customHeight="false" outlineLevel="0" collapsed="false">
      <c r="A164" s="30"/>
      <c r="B164" s="31"/>
      <c r="C164" s="31"/>
      <c r="D164" s="32"/>
      <c r="E164" s="31"/>
      <c r="F164" s="31"/>
    </row>
    <row r="165" customFormat="false" ht="15" hidden="false" customHeight="false" outlineLevel="0" collapsed="false">
      <c r="A165" s="30"/>
      <c r="B165" s="31"/>
      <c r="C165" s="31"/>
      <c r="D165" s="32"/>
      <c r="E165" s="31"/>
      <c r="F165" s="31"/>
    </row>
    <row r="166" customFormat="false" ht="15" hidden="false" customHeight="false" outlineLevel="0" collapsed="false">
      <c r="A166" s="30"/>
      <c r="B166" s="31"/>
      <c r="C166" s="31"/>
      <c r="D166" s="32"/>
      <c r="E166" s="31"/>
      <c r="F166" s="31"/>
    </row>
    <row r="167" customFormat="false" ht="15" hidden="false" customHeight="false" outlineLevel="0" collapsed="false">
      <c r="A167" s="30"/>
      <c r="B167" s="31"/>
      <c r="C167" s="31"/>
      <c r="D167" s="32"/>
      <c r="E167" s="31"/>
      <c r="F167" s="31"/>
    </row>
    <row r="168" customFormat="false" ht="15" hidden="false" customHeight="false" outlineLevel="0" collapsed="false">
      <c r="A168" s="30"/>
      <c r="B168" s="31"/>
      <c r="C168" s="31"/>
      <c r="D168" s="32"/>
      <c r="E168" s="31"/>
      <c r="F168" s="31"/>
    </row>
    <row r="169" customFormat="false" ht="15" hidden="false" customHeight="false" outlineLevel="0" collapsed="false">
      <c r="A169" s="30"/>
      <c r="B169" s="31"/>
      <c r="C169" s="31"/>
      <c r="D169" s="32"/>
      <c r="E169" s="31"/>
      <c r="F169" s="31"/>
    </row>
    <row r="170" customFormat="false" ht="15" hidden="false" customHeight="false" outlineLevel="0" collapsed="false">
      <c r="A170" s="30"/>
      <c r="B170" s="31"/>
      <c r="C170" s="31"/>
      <c r="D170" s="32"/>
      <c r="E170" s="31"/>
      <c r="F170" s="31"/>
    </row>
    <row r="171" customFormat="false" ht="15" hidden="false" customHeight="false" outlineLevel="0" collapsed="false">
      <c r="A171" s="30"/>
      <c r="B171" s="31"/>
      <c r="C171" s="31"/>
      <c r="D171" s="32"/>
      <c r="E171" s="31"/>
      <c r="F171" s="31"/>
    </row>
    <row r="172" customFormat="false" ht="15" hidden="false" customHeight="false" outlineLevel="0" collapsed="false">
      <c r="A172" s="30"/>
      <c r="B172" s="31"/>
      <c r="C172" s="31"/>
      <c r="D172" s="32"/>
      <c r="E172" s="31"/>
      <c r="F172" s="31"/>
    </row>
    <row r="173" customFormat="false" ht="15" hidden="false" customHeight="false" outlineLevel="0" collapsed="false">
      <c r="A173" s="30"/>
      <c r="B173" s="31"/>
      <c r="C173" s="31"/>
      <c r="D173" s="32"/>
      <c r="E173" s="31"/>
      <c r="F173" s="31"/>
    </row>
    <row r="174" customFormat="false" ht="15" hidden="false" customHeight="false" outlineLevel="0" collapsed="false">
      <c r="A174" s="30"/>
      <c r="B174" s="31"/>
      <c r="C174" s="31"/>
      <c r="D174" s="32"/>
      <c r="E174" s="31"/>
      <c r="F174" s="31"/>
    </row>
    <row r="175" customFormat="false" ht="15" hidden="false" customHeight="false" outlineLevel="0" collapsed="false">
      <c r="A175" s="30"/>
      <c r="B175" s="31"/>
      <c r="C175" s="31"/>
      <c r="D175" s="32"/>
      <c r="E175" s="31"/>
      <c r="F175" s="31"/>
    </row>
    <row r="176" customFormat="false" ht="15" hidden="false" customHeight="false" outlineLevel="0" collapsed="false">
      <c r="A176" s="30"/>
      <c r="B176" s="31"/>
      <c r="C176" s="31"/>
      <c r="D176" s="32"/>
      <c r="E176" s="31"/>
      <c r="F176" s="31"/>
    </row>
    <row r="177" customFormat="false" ht="15" hidden="false" customHeight="false" outlineLevel="0" collapsed="false">
      <c r="A177" s="30"/>
      <c r="B177" s="31"/>
      <c r="C177" s="31"/>
      <c r="D177" s="32"/>
      <c r="E177" s="31"/>
      <c r="F177" s="31"/>
    </row>
    <row r="178" customFormat="false" ht="15" hidden="false" customHeight="false" outlineLevel="0" collapsed="false">
      <c r="A178" s="30"/>
      <c r="B178" s="31"/>
      <c r="C178" s="31"/>
      <c r="D178" s="32"/>
      <c r="E178" s="31"/>
      <c r="F178" s="31"/>
    </row>
    <row r="179" customFormat="false" ht="15" hidden="false" customHeight="false" outlineLevel="0" collapsed="false">
      <c r="A179" s="30"/>
      <c r="B179" s="31"/>
      <c r="C179" s="31"/>
      <c r="D179" s="32"/>
      <c r="E179" s="31"/>
      <c r="F179" s="31"/>
    </row>
    <row r="180" customFormat="false" ht="15" hidden="false" customHeight="false" outlineLevel="0" collapsed="false">
      <c r="A180" s="30"/>
      <c r="B180" s="31"/>
      <c r="C180" s="31"/>
      <c r="D180" s="32"/>
      <c r="E180" s="31"/>
      <c r="F180" s="31"/>
    </row>
    <row r="181" customFormat="false" ht="15" hidden="false" customHeight="false" outlineLevel="0" collapsed="false">
      <c r="A181" s="30"/>
      <c r="B181" s="31"/>
      <c r="C181" s="31"/>
      <c r="D181" s="32"/>
      <c r="E181" s="31"/>
      <c r="F181" s="31"/>
    </row>
    <row r="182" customFormat="false" ht="15" hidden="false" customHeight="false" outlineLevel="0" collapsed="false">
      <c r="A182" s="30"/>
      <c r="B182" s="31"/>
      <c r="C182" s="31"/>
      <c r="D182" s="32"/>
      <c r="E182" s="31"/>
      <c r="F182" s="31"/>
    </row>
    <row r="183" customFormat="false" ht="15" hidden="false" customHeight="false" outlineLevel="0" collapsed="false">
      <c r="A183" s="30"/>
      <c r="B183" s="31"/>
      <c r="C183" s="31"/>
      <c r="D183" s="32"/>
      <c r="E183" s="31"/>
      <c r="F183" s="31"/>
    </row>
    <row r="184" customFormat="false" ht="15" hidden="false" customHeight="false" outlineLevel="0" collapsed="false">
      <c r="A184" s="30"/>
      <c r="B184" s="31"/>
      <c r="C184" s="31"/>
      <c r="D184" s="32"/>
      <c r="E184" s="31"/>
      <c r="F184" s="31"/>
    </row>
    <row r="185" customFormat="false" ht="15" hidden="false" customHeight="false" outlineLevel="0" collapsed="false">
      <c r="A185" s="30"/>
      <c r="B185" s="31"/>
      <c r="C185" s="31"/>
      <c r="D185" s="32"/>
      <c r="E185" s="31"/>
      <c r="F185" s="31"/>
    </row>
    <row r="186" customFormat="false" ht="15" hidden="false" customHeight="false" outlineLevel="0" collapsed="false">
      <c r="A186" s="30"/>
      <c r="B186" s="31"/>
      <c r="C186" s="31"/>
      <c r="D186" s="32"/>
      <c r="E186" s="31"/>
      <c r="F186" s="31"/>
    </row>
    <row r="187" customFormat="false" ht="15" hidden="false" customHeight="false" outlineLevel="0" collapsed="false">
      <c r="A187" s="30"/>
      <c r="B187" s="31"/>
      <c r="C187" s="31"/>
      <c r="D187" s="32"/>
      <c r="E187" s="31"/>
      <c r="F187" s="31"/>
    </row>
    <row r="188" customFormat="false" ht="15" hidden="false" customHeight="false" outlineLevel="0" collapsed="false">
      <c r="A188" s="30"/>
      <c r="B188" s="31"/>
      <c r="C188" s="31"/>
      <c r="D188" s="32"/>
      <c r="E188" s="31"/>
      <c r="F188" s="31"/>
    </row>
    <row r="189" customFormat="false" ht="15" hidden="false" customHeight="false" outlineLevel="0" collapsed="false">
      <c r="A189" s="30"/>
      <c r="B189" s="31"/>
      <c r="C189" s="31"/>
      <c r="D189" s="32"/>
      <c r="E189" s="31"/>
      <c r="F189" s="31"/>
    </row>
    <row r="190" customFormat="false" ht="15" hidden="false" customHeight="false" outlineLevel="0" collapsed="false">
      <c r="A190" s="30"/>
      <c r="B190" s="31"/>
      <c r="C190" s="31"/>
      <c r="D190" s="32"/>
      <c r="E190" s="31"/>
      <c r="F190" s="31"/>
    </row>
    <row r="191" customFormat="false" ht="15" hidden="false" customHeight="false" outlineLevel="0" collapsed="false">
      <c r="A191" s="30"/>
      <c r="B191" s="31"/>
      <c r="C191" s="31"/>
      <c r="D191" s="32"/>
      <c r="E191" s="31"/>
      <c r="F191" s="31"/>
    </row>
    <row r="192" customFormat="false" ht="15" hidden="false" customHeight="false" outlineLevel="0" collapsed="false">
      <c r="A192" s="30"/>
      <c r="B192" s="31"/>
      <c r="C192" s="31"/>
      <c r="D192" s="32"/>
      <c r="E192" s="31"/>
      <c r="F192" s="31"/>
    </row>
    <row r="193" customFormat="false" ht="15" hidden="false" customHeight="false" outlineLevel="0" collapsed="false">
      <c r="A193" s="30"/>
      <c r="B193" s="31"/>
      <c r="C193" s="31"/>
      <c r="D193" s="32"/>
      <c r="E193" s="31"/>
      <c r="F193" s="31"/>
    </row>
    <row r="194" customFormat="false" ht="15" hidden="false" customHeight="false" outlineLevel="0" collapsed="false">
      <c r="A194" s="30"/>
      <c r="B194" s="31"/>
      <c r="C194" s="31"/>
      <c r="D194" s="32"/>
      <c r="E194" s="31"/>
      <c r="F194" s="31"/>
    </row>
    <row r="195" customFormat="false" ht="15" hidden="false" customHeight="false" outlineLevel="0" collapsed="false">
      <c r="A195" s="30"/>
      <c r="B195" s="31"/>
      <c r="C195" s="31"/>
      <c r="D195" s="32"/>
      <c r="E195" s="31"/>
      <c r="F195" s="31"/>
    </row>
    <row r="196" customFormat="false" ht="15" hidden="false" customHeight="false" outlineLevel="0" collapsed="false">
      <c r="A196" s="30"/>
      <c r="B196" s="31"/>
      <c r="C196" s="31"/>
      <c r="D196" s="32"/>
      <c r="E196" s="31"/>
      <c r="F196" s="31"/>
    </row>
    <row r="197" customFormat="false" ht="15" hidden="false" customHeight="false" outlineLevel="0" collapsed="false">
      <c r="A197" s="30"/>
      <c r="B197" s="31"/>
      <c r="C197" s="31"/>
      <c r="D197" s="32"/>
      <c r="E197" s="31"/>
      <c r="F197" s="31"/>
    </row>
    <row r="198" customFormat="false" ht="15" hidden="false" customHeight="false" outlineLevel="0" collapsed="false">
      <c r="A198" s="30"/>
      <c r="B198" s="31"/>
      <c r="C198" s="31"/>
      <c r="D198" s="32"/>
      <c r="E198" s="31"/>
      <c r="F198" s="31"/>
    </row>
    <row r="199" customFormat="false" ht="15" hidden="false" customHeight="false" outlineLevel="0" collapsed="false">
      <c r="A199" s="30"/>
      <c r="B199" s="31"/>
      <c r="C199" s="31"/>
      <c r="D199" s="32"/>
      <c r="E199" s="31"/>
      <c r="F199" s="31"/>
    </row>
    <row r="200" customFormat="false" ht="15" hidden="false" customHeight="false" outlineLevel="0" collapsed="false">
      <c r="A200" s="30"/>
      <c r="B200" s="31"/>
      <c r="C200" s="31"/>
      <c r="D200" s="32"/>
      <c r="E200" s="31"/>
      <c r="F200" s="31"/>
    </row>
  </sheetData>
  <dataValidations count="2">
    <dataValidation allowBlank="true" errorStyle="stop" operator="between" showDropDown="false" showErrorMessage="false" showInputMessage="false" sqref="B6:B200" type="list">
      <formula1>"QBank,Vignettes,Mini-test,Mock"</formula1>
      <formula2>0</formula2>
    </dataValidation>
    <dataValidation allowBlank="true" errorStyle="stop" operator="between" showDropDown="false" showErrorMessage="false" showInputMessage="false" sqref="C6:C200" type="list">
      <formula1>"Ética,Quant,Economía,FSA,Corporate Issuers,Equity,Renta Fija,Derivados,Alternativos,Portafolio,Mixto"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23.85" hidden="false" customHeight="false" outlineLevel="0" collapsed="false">
      <c r="A4" s="15" t="s">
        <v>151</v>
      </c>
      <c r="B4" s="15" t="s">
        <v>78</v>
      </c>
      <c r="C4" s="15" t="s">
        <v>159</v>
      </c>
      <c r="D4" s="15" t="s">
        <v>160</v>
      </c>
      <c r="E4" s="15" t="s">
        <v>161</v>
      </c>
      <c r="F4" s="15" t="s">
        <v>162</v>
      </c>
      <c r="G4" s="15" t="s">
        <v>163</v>
      </c>
      <c r="H4" s="15" t="s">
        <v>164</v>
      </c>
    </row>
    <row r="5" customFormat="false" ht="23.85" hidden="false" customHeight="false" outlineLevel="0" collapsed="false">
      <c r="A5" s="33" t="n">
        <v>46338</v>
      </c>
      <c r="B5" s="34" t="s">
        <v>91</v>
      </c>
      <c r="C5" s="34" t="s">
        <v>165</v>
      </c>
      <c r="D5" s="34" t="s">
        <v>166</v>
      </c>
      <c r="E5" s="34" t="s">
        <v>167</v>
      </c>
      <c r="F5" s="34" t="s">
        <v>168</v>
      </c>
      <c r="G5" s="33" t="n">
        <v>46345</v>
      </c>
      <c r="H5" s="33" t="n">
        <v>46359</v>
      </c>
    </row>
    <row r="6" customFormat="false" ht="15" hidden="false" customHeight="false" outlineLevel="0" collapsed="false">
      <c r="A6" s="30"/>
      <c r="B6" s="31"/>
      <c r="C6" s="31"/>
      <c r="D6" s="31"/>
      <c r="E6" s="31"/>
      <c r="F6" s="31"/>
      <c r="G6" s="30"/>
      <c r="H6" s="30"/>
    </row>
    <row r="7" customFormat="false" ht="15" hidden="false" customHeight="false" outlineLevel="0" collapsed="false">
      <c r="A7" s="30"/>
      <c r="B7" s="31"/>
      <c r="C7" s="31"/>
      <c r="D7" s="31"/>
      <c r="E7" s="31"/>
      <c r="F7" s="31"/>
      <c r="G7" s="30"/>
      <c r="H7" s="30"/>
    </row>
    <row r="8" customFormat="false" ht="15" hidden="false" customHeight="false" outlineLevel="0" collapsed="false">
      <c r="A8" s="30"/>
      <c r="B8" s="31"/>
      <c r="C8" s="31"/>
      <c r="D8" s="31"/>
      <c r="E8" s="31"/>
      <c r="F8" s="31"/>
      <c r="G8" s="30"/>
      <c r="H8" s="30"/>
    </row>
    <row r="9" customFormat="false" ht="15" hidden="false" customHeight="false" outlineLevel="0" collapsed="false">
      <c r="A9" s="30"/>
      <c r="B9" s="31"/>
      <c r="C9" s="31"/>
      <c r="D9" s="31"/>
      <c r="E9" s="31"/>
      <c r="F9" s="31"/>
      <c r="G9" s="30"/>
      <c r="H9" s="30"/>
    </row>
    <row r="10" customFormat="false" ht="15" hidden="false" customHeight="false" outlineLevel="0" collapsed="false">
      <c r="A10" s="30"/>
      <c r="B10" s="31"/>
      <c r="C10" s="31"/>
      <c r="D10" s="31"/>
      <c r="E10" s="31"/>
      <c r="F10" s="31"/>
      <c r="G10" s="30"/>
      <c r="H10" s="30"/>
    </row>
    <row r="11" customFormat="false" ht="15" hidden="false" customHeight="false" outlineLevel="0" collapsed="false">
      <c r="A11" s="30"/>
      <c r="B11" s="31"/>
      <c r="C11" s="31"/>
      <c r="D11" s="31"/>
      <c r="E11" s="31"/>
      <c r="F11" s="31"/>
      <c r="G11" s="30"/>
      <c r="H11" s="30"/>
    </row>
    <row r="12" customFormat="false" ht="15" hidden="false" customHeight="false" outlineLevel="0" collapsed="false">
      <c r="A12" s="30"/>
      <c r="B12" s="31"/>
      <c r="C12" s="31"/>
      <c r="D12" s="31"/>
      <c r="E12" s="31"/>
      <c r="F12" s="31"/>
      <c r="G12" s="30"/>
      <c r="H12" s="30"/>
    </row>
    <row r="13" customFormat="false" ht="15" hidden="false" customHeight="false" outlineLevel="0" collapsed="false">
      <c r="A13" s="30"/>
      <c r="B13" s="31"/>
      <c r="C13" s="31"/>
      <c r="D13" s="31"/>
      <c r="E13" s="31"/>
      <c r="F13" s="31"/>
      <c r="G13" s="30"/>
      <c r="H13" s="30"/>
    </row>
    <row r="14" customFormat="false" ht="15" hidden="false" customHeight="false" outlineLevel="0" collapsed="false">
      <c r="A14" s="30"/>
      <c r="B14" s="31"/>
      <c r="C14" s="31"/>
      <c r="D14" s="31"/>
      <c r="E14" s="31"/>
      <c r="F14" s="31"/>
      <c r="G14" s="30"/>
      <c r="H14" s="30"/>
    </row>
    <row r="15" customFormat="false" ht="15" hidden="false" customHeight="false" outlineLevel="0" collapsed="false">
      <c r="A15" s="30"/>
      <c r="B15" s="31"/>
      <c r="C15" s="31"/>
      <c r="D15" s="31"/>
      <c r="E15" s="31"/>
      <c r="F15" s="31"/>
      <c r="G15" s="30"/>
      <c r="H15" s="30"/>
    </row>
    <row r="16" customFormat="false" ht="15" hidden="false" customHeight="false" outlineLevel="0" collapsed="false">
      <c r="A16" s="30"/>
      <c r="B16" s="31"/>
      <c r="C16" s="31"/>
      <c r="D16" s="31"/>
      <c r="E16" s="31"/>
      <c r="F16" s="31"/>
      <c r="G16" s="30"/>
      <c r="H16" s="30"/>
    </row>
    <row r="17" customFormat="false" ht="15" hidden="false" customHeight="false" outlineLevel="0" collapsed="false">
      <c r="A17" s="30"/>
      <c r="B17" s="31"/>
      <c r="C17" s="31"/>
      <c r="D17" s="31"/>
      <c r="E17" s="31"/>
      <c r="F17" s="31"/>
      <c r="G17" s="30"/>
      <c r="H17" s="30"/>
    </row>
    <row r="18" customFormat="false" ht="15" hidden="false" customHeight="false" outlineLevel="0" collapsed="false">
      <c r="A18" s="30"/>
      <c r="B18" s="31"/>
      <c r="C18" s="31"/>
      <c r="D18" s="31"/>
      <c r="E18" s="31"/>
      <c r="F18" s="31"/>
      <c r="G18" s="30"/>
      <c r="H18" s="30"/>
    </row>
    <row r="19" customFormat="false" ht="15" hidden="false" customHeight="false" outlineLevel="0" collapsed="false">
      <c r="A19" s="30"/>
      <c r="B19" s="31"/>
      <c r="C19" s="31"/>
      <c r="D19" s="31"/>
      <c r="E19" s="31"/>
      <c r="F19" s="31"/>
      <c r="G19" s="30"/>
      <c r="H19" s="30"/>
    </row>
    <row r="20" customFormat="false" ht="15" hidden="false" customHeight="false" outlineLevel="0" collapsed="false">
      <c r="A20" s="30"/>
      <c r="B20" s="31"/>
      <c r="C20" s="31"/>
      <c r="D20" s="31"/>
      <c r="E20" s="31"/>
      <c r="F20" s="31"/>
      <c r="G20" s="30"/>
      <c r="H20" s="30"/>
    </row>
    <row r="21" customFormat="false" ht="15" hidden="false" customHeight="false" outlineLevel="0" collapsed="false">
      <c r="A21" s="30"/>
      <c r="B21" s="31"/>
      <c r="C21" s="31"/>
      <c r="D21" s="31"/>
      <c r="E21" s="31"/>
      <c r="F21" s="31"/>
      <c r="G21" s="30"/>
      <c r="H21" s="30"/>
    </row>
    <row r="22" customFormat="false" ht="15" hidden="false" customHeight="false" outlineLevel="0" collapsed="false">
      <c r="A22" s="30"/>
      <c r="B22" s="31"/>
      <c r="C22" s="31"/>
      <c r="D22" s="31"/>
      <c r="E22" s="31"/>
      <c r="F22" s="31"/>
      <c r="G22" s="30"/>
      <c r="H22" s="30"/>
    </row>
    <row r="23" customFormat="false" ht="15" hidden="false" customHeight="false" outlineLevel="0" collapsed="false">
      <c r="A23" s="30"/>
      <c r="B23" s="31"/>
      <c r="C23" s="31"/>
      <c r="D23" s="31"/>
      <c r="E23" s="31"/>
      <c r="F23" s="31"/>
      <c r="G23" s="30"/>
      <c r="H23" s="30"/>
    </row>
    <row r="24" customFormat="false" ht="15" hidden="false" customHeight="false" outlineLevel="0" collapsed="false">
      <c r="A24" s="30"/>
      <c r="B24" s="31"/>
      <c r="C24" s="31"/>
      <c r="D24" s="31"/>
      <c r="E24" s="31"/>
      <c r="F24" s="31"/>
      <c r="G24" s="30"/>
      <c r="H24" s="30"/>
    </row>
    <row r="25" customFormat="false" ht="15" hidden="false" customHeight="false" outlineLevel="0" collapsed="false">
      <c r="A25" s="30"/>
      <c r="B25" s="31"/>
      <c r="C25" s="31"/>
      <c r="D25" s="31"/>
      <c r="E25" s="31"/>
      <c r="F25" s="31"/>
      <c r="G25" s="30"/>
      <c r="H25" s="30"/>
    </row>
    <row r="26" customFormat="false" ht="15" hidden="false" customHeight="false" outlineLevel="0" collapsed="false">
      <c r="A26" s="30"/>
      <c r="B26" s="31"/>
      <c r="C26" s="31"/>
      <c r="D26" s="31"/>
      <c r="E26" s="31"/>
      <c r="F26" s="31"/>
      <c r="G26" s="30"/>
      <c r="H26" s="30"/>
    </row>
    <row r="27" customFormat="false" ht="15" hidden="false" customHeight="false" outlineLevel="0" collapsed="false">
      <c r="A27" s="30"/>
      <c r="B27" s="31"/>
      <c r="C27" s="31"/>
      <c r="D27" s="31"/>
      <c r="E27" s="31"/>
      <c r="F27" s="31"/>
      <c r="G27" s="30"/>
      <c r="H27" s="30"/>
    </row>
    <row r="28" customFormat="false" ht="15" hidden="false" customHeight="false" outlineLevel="0" collapsed="false">
      <c r="A28" s="30"/>
      <c r="B28" s="31"/>
      <c r="C28" s="31"/>
      <c r="D28" s="31"/>
      <c r="E28" s="31"/>
      <c r="F28" s="31"/>
      <c r="G28" s="30"/>
      <c r="H28" s="30"/>
    </row>
    <row r="29" customFormat="false" ht="15" hidden="false" customHeight="false" outlineLevel="0" collapsed="false">
      <c r="A29" s="30"/>
      <c r="B29" s="31"/>
      <c r="C29" s="31"/>
      <c r="D29" s="31"/>
      <c r="E29" s="31"/>
      <c r="F29" s="31"/>
      <c r="G29" s="30"/>
      <c r="H29" s="30"/>
    </row>
    <row r="30" customFormat="false" ht="15" hidden="false" customHeight="false" outlineLevel="0" collapsed="false">
      <c r="A30" s="30"/>
      <c r="B30" s="31"/>
      <c r="C30" s="31"/>
      <c r="D30" s="31"/>
      <c r="E30" s="31"/>
      <c r="F30" s="31"/>
      <c r="G30" s="30"/>
      <c r="H30" s="30"/>
    </row>
    <row r="31" customFormat="false" ht="15" hidden="false" customHeight="false" outlineLevel="0" collapsed="false">
      <c r="A31" s="30"/>
      <c r="B31" s="31"/>
      <c r="C31" s="31"/>
      <c r="D31" s="31"/>
      <c r="E31" s="31"/>
      <c r="F31" s="31"/>
      <c r="G31" s="30"/>
      <c r="H31" s="30"/>
    </row>
    <row r="32" customFormat="false" ht="15" hidden="false" customHeight="false" outlineLevel="0" collapsed="false">
      <c r="A32" s="30"/>
      <c r="B32" s="31"/>
      <c r="C32" s="31"/>
      <c r="D32" s="31"/>
      <c r="E32" s="31"/>
      <c r="F32" s="31"/>
      <c r="G32" s="30"/>
      <c r="H32" s="30"/>
    </row>
    <row r="33" customFormat="false" ht="15" hidden="false" customHeight="false" outlineLevel="0" collapsed="false">
      <c r="A33" s="30"/>
      <c r="B33" s="31"/>
      <c r="C33" s="31"/>
      <c r="D33" s="31"/>
      <c r="E33" s="31"/>
      <c r="F33" s="31"/>
      <c r="G33" s="30"/>
      <c r="H33" s="30"/>
    </row>
    <row r="34" customFormat="false" ht="15" hidden="false" customHeight="false" outlineLevel="0" collapsed="false">
      <c r="A34" s="30"/>
      <c r="B34" s="31"/>
      <c r="C34" s="31"/>
      <c r="D34" s="31"/>
      <c r="E34" s="31"/>
      <c r="F34" s="31"/>
      <c r="G34" s="30"/>
      <c r="H34" s="30"/>
    </row>
    <row r="35" customFormat="false" ht="15" hidden="false" customHeight="false" outlineLevel="0" collapsed="false">
      <c r="A35" s="30"/>
      <c r="B35" s="31"/>
      <c r="C35" s="31"/>
      <c r="D35" s="31"/>
      <c r="E35" s="31"/>
      <c r="F35" s="31"/>
      <c r="G35" s="30"/>
      <c r="H35" s="30"/>
    </row>
    <row r="36" customFormat="false" ht="15" hidden="false" customHeight="false" outlineLevel="0" collapsed="false">
      <c r="A36" s="30"/>
      <c r="B36" s="31"/>
      <c r="C36" s="31"/>
      <c r="D36" s="31"/>
      <c r="E36" s="31"/>
      <c r="F36" s="31"/>
      <c r="G36" s="30"/>
      <c r="H36" s="30"/>
    </row>
    <row r="37" customFormat="false" ht="15" hidden="false" customHeight="false" outlineLevel="0" collapsed="false">
      <c r="A37" s="30"/>
      <c r="B37" s="31"/>
      <c r="C37" s="31"/>
      <c r="D37" s="31"/>
      <c r="E37" s="31"/>
      <c r="F37" s="31"/>
      <c r="G37" s="30"/>
      <c r="H37" s="30"/>
    </row>
    <row r="38" customFormat="false" ht="15" hidden="false" customHeight="false" outlineLevel="0" collapsed="false">
      <c r="A38" s="30"/>
      <c r="B38" s="31"/>
      <c r="C38" s="31"/>
      <c r="D38" s="31"/>
      <c r="E38" s="31"/>
      <c r="F38" s="31"/>
      <c r="G38" s="30"/>
      <c r="H38" s="30"/>
    </row>
    <row r="39" customFormat="false" ht="15" hidden="false" customHeight="false" outlineLevel="0" collapsed="false">
      <c r="A39" s="30"/>
      <c r="B39" s="31"/>
      <c r="C39" s="31"/>
      <c r="D39" s="31"/>
      <c r="E39" s="31"/>
      <c r="F39" s="31"/>
      <c r="G39" s="30"/>
      <c r="H39" s="30"/>
    </row>
    <row r="40" customFormat="false" ht="15" hidden="false" customHeight="false" outlineLevel="0" collapsed="false">
      <c r="A40" s="30"/>
      <c r="B40" s="31"/>
      <c r="C40" s="31"/>
      <c r="D40" s="31"/>
      <c r="E40" s="31"/>
      <c r="F40" s="31"/>
      <c r="G40" s="30"/>
      <c r="H40" s="30"/>
    </row>
    <row r="41" customFormat="false" ht="15" hidden="false" customHeight="false" outlineLevel="0" collapsed="false">
      <c r="A41" s="30"/>
      <c r="B41" s="31"/>
      <c r="C41" s="31"/>
      <c r="D41" s="31"/>
      <c r="E41" s="31"/>
      <c r="F41" s="31"/>
      <c r="G41" s="30"/>
      <c r="H41" s="30"/>
    </row>
    <row r="42" customFormat="false" ht="15" hidden="false" customHeight="false" outlineLevel="0" collapsed="false">
      <c r="A42" s="30"/>
      <c r="B42" s="31"/>
      <c r="C42" s="31"/>
      <c r="D42" s="31"/>
      <c r="E42" s="31"/>
      <c r="F42" s="31"/>
      <c r="G42" s="30"/>
      <c r="H42" s="30"/>
    </row>
    <row r="43" customFormat="false" ht="15" hidden="false" customHeight="false" outlineLevel="0" collapsed="false">
      <c r="A43" s="30"/>
      <c r="B43" s="31"/>
      <c r="C43" s="31"/>
      <c r="D43" s="31"/>
      <c r="E43" s="31"/>
      <c r="F43" s="31"/>
      <c r="G43" s="30"/>
      <c r="H43" s="30"/>
    </row>
    <row r="44" customFormat="false" ht="15" hidden="false" customHeight="false" outlineLevel="0" collapsed="false">
      <c r="A44" s="30"/>
      <c r="B44" s="31"/>
      <c r="C44" s="31"/>
      <c r="D44" s="31"/>
      <c r="E44" s="31"/>
      <c r="F44" s="31"/>
      <c r="G44" s="30"/>
      <c r="H44" s="30"/>
    </row>
    <row r="45" customFormat="false" ht="15" hidden="false" customHeight="false" outlineLevel="0" collapsed="false">
      <c r="A45" s="30"/>
      <c r="B45" s="31"/>
      <c r="C45" s="31"/>
      <c r="D45" s="31"/>
      <c r="E45" s="31"/>
      <c r="F45" s="31"/>
      <c r="G45" s="30"/>
      <c r="H45" s="30"/>
    </row>
    <row r="46" customFormat="false" ht="15" hidden="false" customHeight="false" outlineLevel="0" collapsed="false">
      <c r="A46" s="30"/>
      <c r="B46" s="31"/>
      <c r="C46" s="31"/>
      <c r="D46" s="31"/>
      <c r="E46" s="31"/>
      <c r="F46" s="31"/>
      <c r="G46" s="30"/>
      <c r="H46" s="30"/>
    </row>
    <row r="47" customFormat="false" ht="15" hidden="false" customHeight="false" outlineLevel="0" collapsed="false">
      <c r="A47" s="30"/>
      <c r="B47" s="31"/>
      <c r="C47" s="31"/>
      <c r="D47" s="31"/>
      <c r="E47" s="31"/>
      <c r="F47" s="31"/>
      <c r="G47" s="30"/>
      <c r="H47" s="30"/>
    </row>
    <row r="48" customFormat="false" ht="15" hidden="false" customHeight="false" outlineLevel="0" collapsed="false">
      <c r="A48" s="30"/>
      <c r="B48" s="31"/>
      <c r="C48" s="31"/>
      <c r="D48" s="31"/>
      <c r="E48" s="31"/>
      <c r="F48" s="31"/>
      <c r="G48" s="30"/>
      <c r="H48" s="30"/>
    </row>
    <row r="49" customFormat="false" ht="15" hidden="false" customHeight="false" outlineLevel="0" collapsed="false">
      <c r="A49" s="30"/>
      <c r="B49" s="31"/>
      <c r="C49" s="31"/>
      <c r="D49" s="31"/>
      <c r="E49" s="31"/>
      <c r="F49" s="31"/>
      <c r="G49" s="30"/>
      <c r="H49" s="30"/>
    </row>
    <row r="50" customFormat="false" ht="15" hidden="false" customHeight="false" outlineLevel="0" collapsed="false">
      <c r="A50" s="30"/>
      <c r="B50" s="31"/>
      <c r="C50" s="31"/>
      <c r="D50" s="31"/>
      <c r="E50" s="31"/>
      <c r="F50" s="31"/>
      <c r="G50" s="30"/>
      <c r="H50" s="30"/>
    </row>
    <row r="51" customFormat="false" ht="15" hidden="false" customHeight="false" outlineLevel="0" collapsed="false">
      <c r="A51" s="30"/>
      <c r="B51" s="31"/>
      <c r="C51" s="31"/>
      <c r="D51" s="31"/>
      <c r="E51" s="31"/>
      <c r="F51" s="31"/>
      <c r="G51" s="30"/>
      <c r="H51" s="30"/>
    </row>
    <row r="52" customFormat="false" ht="15" hidden="false" customHeight="false" outlineLevel="0" collapsed="false">
      <c r="A52" s="30"/>
      <c r="B52" s="31"/>
      <c r="C52" s="31"/>
      <c r="D52" s="31"/>
      <c r="E52" s="31"/>
      <c r="F52" s="31"/>
      <c r="G52" s="30"/>
      <c r="H52" s="30"/>
    </row>
    <row r="53" customFormat="false" ht="15" hidden="false" customHeight="false" outlineLevel="0" collapsed="false">
      <c r="A53" s="30"/>
      <c r="B53" s="31"/>
      <c r="C53" s="31"/>
      <c r="D53" s="31"/>
      <c r="E53" s="31"/>
      <c r="F53" s="31"/>
      <c r="G53" s="30"/>
      <c r="H53" s="30"/>
    </row>
    <row r="54" customFormat="false" ht="15" hidden="false" customHeight="false" outlineLevel="0" collapsed="false">
      <c r="A54" s="30"/>
      <c r="B54" s="31"/>
      <c r="C54" s="31"/>
      <c r="D54" s="31"/>
      <c r="E54" s="31"/>
      <c r="F54" s="31"/>
      <c r="G54" s="30"/>
      <c r="H54" s="30"/>
    </row>
    <row r="55" customFormat="false" ht="15" hidden="false" customHeight="false" outlineLevel="0" collapsed="false">
      <c r="A55" s="30"/>
      <c r="B55" s="31"/>
      <c r="C55" s="31"/>
      <c r="D55" s="31"/>
      <c r="E55" s="31"/>
      <c r="F55" s="31"/>
      <c r="G55" s="30"/>
      <c r="H55" s="30"/>
    </row>
    <row r="56" customFormat="false" ht="15" hidden="false" customHeight="false" outlineLevel="0" collapsed="false">
      <c r="A56" s="30"/>
      <c r="B56" s="31"/>
      <c r="C56" s="31"/>
      <c r="D56" s="31"/>
      <c r="E56" s="31"/>
      <c r="F56" s="31"/>
      <c r="G56" s="30"/>
      <c r="H56" s="30"/>
    </row>
    <row r="57" customFormat="false" ht="15" hidden="false" customHeight="false" outlineLevel="0" collapsed="false">
      <c r="A57" s="30"/>
      <c r="B57" s="31"/>
      <c r="C57" s="31"/>
      <c r="D57" s="31"/>
      <c r="E57" s="31"/>
      <c r="F57" s="31"/>
      <c r="G57" s="30"/>
      <c r="H57" s="30"/>
    </row>
    <row r="58" customFormat="false" ht="15" hidden="false" customHeight="false" outlineLevel="0" collapsed="false">
      <c r="A58" s="30"/>
      <c r="B58" s="31"/>
      <c r="C58" s="31"/>
      <c r="D58" s="31"/>
      <c r="E58" s="31"/>
      <c r="F58" s="31"/>
      <c r="G58" s="30"/>
      <c r="H58" s="30"/>
    </row>
    <row r="59" customFormat="false" ht="15" hidden="false" customHeight="false" outlineLevel="0" collapsed="false">
      <c r="A59" s="30"/>
      <c r="B59" s="31"/>
      <c r="C59" s="31"/>
      <c r="D59" s="31"/>
      <c r="E59" s="31"/>
      <c r="F59" s="31"/>
      <c r="G59" s="30"/>
      <c r="H59" s="30"/>
    </row>
    <row r="60" customFormat="false" ht="15" hidden="false" customHeight="false" outlineLevel="0" collapsed="false">
      <c r="A60" s="30"/>
      <c r="B60" s="31"/>
      <c r="C60" s="31"/>
      <c r="D60" s="31"/>
      <c r="E60" s="31"/>
      <c r="F60" s="31"/>
      <c r="G60" s="30"/>
      <c r="H60" s="30"/>
    </row>
    <row r="61" customFormat="false" ht="15" hidden="false" customHeight="false" outlineLevel="0" collapsed="false">
      <c r="A61" s="30"/>
      <c r="B61" s="31"/>
      <c r="C61" s="31"/>
      <c r="D61" s="31"/>
      <c r="E61" s="31"/>
      <c r="F61" s="31"/>
      <c r="G61" s="30"/>
      <c r="H61" s="30"/>
    </row>
    <row r="62" customFormat="false" ht="15" hidden="false" customHeight="false" outlineLevel="0" collapsed="false">
      <c r="A62" s="30"/>
      <c r="B62" s="31"/>
      <c r="C62" s="31"/>
      <c r="D62" s="31"/>
      <c r="E62" s="31"/>
      <c r="F62" s="31"/>
      <c r="G62" s="30"/>
      <c r="H62" s="30"/>
    </row>
    <row r="63" customFormat="false" ht="15" hidden="false" customHeight="false" outlineLevel="0" collapsed="false">
      <c r="A63" s="30"/>
      <c r="B63" s="31"/>
      <c r="C63" s="31"/>
      <c r="D63" s="31"/>
      <c r="E63" s="31"/>
      <c r="F63" s="31"/>
      <c r="G63" s="30"/>
      <c r="H63" s="30"/>
    </row>
    <row r="64" customFormat="false" ht="15" hidden="false" customHeight="false" outlineLevel="0" collapsed="false">
      <c r="A64" s="30"/>
      <c r="B64" s="31"/>
      <c r="C64" s="31"/>
      <c r="D64" s="31"/>
      <c r="E64" s="31"/>
      <c r="F64" s="31"/>
      <c r="G64" s="30"/>
      <c r="H64" s="30"/>
    </row>
    <row r="65" customFormat="false" ht="15" hidden="false" customHeight="false" outlineLevel="0" collapsed="false">
      <c r="A65" s="30"/>
      <c r="B65" s="31"/>
      <c r="C65" s="31"/>
      <c r="D65" s="31"/>
      <c r="E65" s="31"/>
      <c r="F65" s="31"/>
      <c r="G65" s="30"/>
      <c r="H65" s="30"/>
    </row>
    <row r="66" customFormat="false" ht="15" hidden="false" customHeight="false" outlineLevel="0" collapsed="false">
      <c r="A66" s="30"/>
      <c r="B66" s="31"/>
      <c r="C66" s="31"/>
      <c r="D66" s="31"/>
      <c r="E66" s="31"/>
      <c r="F66" s="31"/>
      <c r="G66" s="30"/>
      <c r="H66" s="30"/>
    </row>
    <row r="67" customFormat="false" ht="15" hidden="false" customHeight="false" outlineLevel="0" collapsed="false">
      <c r="A67" s="30"/>
      <c r="B67" s="31"/>
      <c r="C67" s="31"/>
      <c r="D67" s="31"/>
      <c r="E67" s="31"/>
      <c r="F67" s="31"/>
      <c r="G67" s="30"/>
      <c r="H67" s="30"/>
    </row>
    <row r="68" customFormat="false" ht="15" hidden="false" customHeight="false" outlineLevel="0" collapsed="false">
      <c r="A68" s="30"/>
      <c r="B68" s="31"/>
      <c r="C68" s="31"/>
      <c r="D68" s="31"/>
      <c r="E68" s="31"/>
      <c r="F68" s="31"/>
      <c r="G68" s="30"/>
      <c r="H68" s="30"/>
    </row>
    <row r="69" customFormat="false" ht="15" hidden="false" customHeight="false" outlineLevel="0" collapsed="false">
      <c r="A69" s="30"/>
      <c r="B69" s="31"/>
      <c r="C69" s="31"/>
      <c r="D69" s="31"/>
      <c r="E69" s="31"/>
      <c r="F69" s="31"/>
      <c r="G69" s="30"/>
      <c r="H69" s="30"/>
    </row>
    <row r="70" customFormat="false" ht="15" hidden="false" customHeight="false" outlineLevel="0" collapsed="false">
      <c r="A70" s="30"/>
      <c r="B70" s="31"/>
      <c r="C70" s="31"/>
      <c r="D70" s="31"/>
      <c r="E70" s="31"/>
      <c r="F70" s="31"/>
      <c r="G70" s="30"/>
      <c r="H70" s="30"/>
    </row>
    <row r="71" customFormat="false" ht="15" hidden="false" customHeight="false" outlineLevel="0" collapsed="false">
      <c r="A71" s="30"/>
      <c r="B71" s="31"/>
      <c r="C71" s="31"/>
      <c r="D71" s="31"/>
      <c r="E71" s="31"/>
      <c r="F71" s="31"/>
      <c r="G71" s="30"/>
      <c r="H71" s="30"/>
    </row>
    <row r="72" customFormat="false" ht="15" hidden="false" customHeight="false" outlineLevel="0" collapsed="false">
      <c r="A72" s="30"/>
      <c r="B72" s="31"/>
      <c r="C72" s="31"/>
      <c r="D72" s="31"/>
      <c r="E72" s="31"/>
      <c r="F72" s="31"/>
      <c r="G72" s="30"/>
      <c r="H72" s="30"/>
    </row>
    <row r="73" customFormat="false" ht="15" hidden="false" customHeight="false" outlineLevel="0" collapsed="false">
      <c r="A73" s="30"/>
      <c r="B73" s="31"/>
      <c r="C73" s="31"/>
      <c r="D73" s="31"/>
      <c r="E73" s="31"/>
      <c r="F73" s="31"/>
      <c r="G73" s="30"/>
      <c r="H73" s="30"/>
    </row>
    <row r="74" customFormat="false" ht="15" hidden="false" customHeight="false" outlineLevel="0" collapsed="false">
      <c r="A74" s="30"/>
      <c r="B74" s="31"/>
      <c r="C74" s="31"/>
      <c r="D74" s="31"/>
      <c r="E74" s="31"/>
      <c r="F74" s="31"/>
      <c r="G74" s="30"/>
      <c r="H74" s="30"/>
    </row>
    <row r="75" customFormat="false" ht="15" hidden="false" customHeight="false" outlineLevel="0" collapsed="false">
      <c r="A75" s="30"/>
      <c r="B75" s="31"/>
      <c r="C75" s="31"/>
      <c r="D75" s="31"/>
      <c r="E75" s="31"/>
      <c r="F75" s="31"/>
      <c r="G75" s="30"/>
      <c r="H75" s="30"/>
    </row>
    <row r="76" customFormat="false" ht="15" hidden="false" customHeight="false" outlineLevel="0" collapsed="false">
      <c r="A76" s="30"/>
      <c r="B76" s="31"/>
      <c r="C76" s="31"/>
      <c r="D76" s="31"/>
      <c r="E76" s="31"/>
      <c r="F76" s="31"/>
      <c r="G76" s="30"/>
      <c r="H76" s="30"/>
    </row>
    <row r="77" customFormat="false" ht="15" hidden="false" customHeight="false" outlineLevel="0" collapsed="false">
      <c r="A77" s="30"/>
      <c r="B77" s="31"/>
      <c r="C77" s="31"/>
      <c r="D77" s="31"/>
      <c r="E77" s="31"/>
      <c r="F77" s="31"/>
      <c r="G77" s="30"/>
      <c r="H77" s="30"/>
    </row>
    <row r="78" customFormat="false" ht="15" hidden="false" customHeight="false" outlineLevel="0" collapsed="false">
      <c r="A78" s="30"/>
      <c r="B78" s="31"/>
      <c r="C78" s="31"/>
      <c r="D78" s="31"/>
      <c r="E78" s="31"/>
      <c r="F78" s="31"/>
      <c r="G78" s="30"/>
      <c r="H78" s="30"/>
    </row>
    <row r="79" customFormat="false" ht="15" hidden="false" customHeight="false" outlineLevel="0" collapsed="false">
      <c r="A79" s="30"/>
      <c r="B79" s="31"/>
      <c r="C79" s="31"/>
      <c r="D79" s="31"/>
      <c r="E79" s="31"/>
      <c r="F79" s="31"/>
      <c r="G79" s="30"/>
      <c r="H79" s="30"/>
    </row>
    <row r="80" customFormat="false" ht="15" hidden="false" customHeight="false" outlineLevel="0" collapsed="false">
      <c r="A80" s="30"/>
      <c r="B80" s="31"/>
      <c r="C80" s="31"/>
      <c r="D80" s="31"/>
      <c r="E80" s="31"/>
      <c r="F80" s="31"/>
      <c r="G80" s="30"/>
      <c r="H80" s="30"/>
    </row>
    <row r="81" customFormat="false" ht="15" hidden="false" customHeight="false" outlineLevel="0" collapsed="false">
      <c r="A81" s="30"/>
      <c r="B81" s="31"/>
      <c r="C81" s="31"/>
      <c r="D81" s="31"/>
      <c r="E81" s="31"/>
      <c r="F81" s="31"/>
      <c r="G81" s="30"/>
      <c r="H81" s="30"/>
    </row>
    <row r="82" customFormat="false" ht="15" hidden="false" customHeight="false" outlineLevel="0" collapsed="false">
      <c r="A82" s="30"/>
      <c r="B82" s="31"/>
      <c r="C82" s="31"/>
      <c r="D82" s="31"/>
      <c r="E82" s="31"/>
      <c r="F82" s="31"/>
      <c r="G82" s="30"/>
      <c r="H82" s="30"/>
    </row>
    <row r="83" customFormat="false" ht="15" hidden="false" customHeight="false" outlineLevel="0" collapsed="false">
      <c r="A83" s="30"/>
      <c r="B83" s="31"/>
      <c r="C83" s="31"/>
      <c r="D83" s="31"/>
      <c r="E83" s="31"/>
      <c r="F83" s="31"/>
      <c r="G83" s="30"/>
      <c r="H83" s="30"/>
    </row>
    <row r="84" customFormat="false" ht="15" hidden="false" customHeight="false" outlineLevel="0" collapsed="false">
      <c r="A84" s="30"/>
      <c r="B84" s="31"/>
      <c r="C84" s="31"/>
      <c r="D84" s="31"/>
      <c r="E84" s="31"/>
      <c r="F84" s="31"/>
      <c r="G84" s="30"/>
      <c r="H84" s="30"/>
    </row>
    <row r="85" customFormat="false" ht="15" hidden="false" customHeight="false" outlineLevel="0" collapsed="false">
      <c r="A85" s="30"/>
      <c r="B85" s="31"/>
      <c r="C85" s="31"/>
      <c r="D85" s="31"/>
      <c r="E85" s="31"/>
      <c r="F85" s="31"/>
      <c r="G85" s="30"/>
      <c r="H85" s="30"/>
    </row>
    <row r="86" customFormat="false" ht="15" hidden="false" customHeight="false" outlineLevel="0" collapsed="false">
      <c r="A86" s="30"/>
      <c r="B86" s="31"/>
      <c r="C86" s="31"/>
      <c r="D86" s="31"/>
      <c r="E86" s="31"/>
      <c r="F86" s="31"/>
      <c r="G86" s="30"/>
      <c r="H86" s="30"/>
    </row>
    <row r="87" customFormat="false" ht="15" hidden="false" customHeight="false" outlineLevel="0" collapsed="false">
      <c r="A87" s="30"/>
      <c r="B87" s="31"/>
      <c r="C87" s="31"/>
      <c r="D87" s="31"/>
      <c r="E87" s="31"/>
      <c r="F87" s="31"/>
      <c r="G87" s="30"/>
      <c r="H87" s="30"/>
    </row>
    <row r="88" customFormat="false" ht="15" hidden="false" customHeight="false" outlineLevel="0" collapsed="false">
      <c r="A88" s="30"/>
      <c r="B88" s="31"/>
      <c r="C88" s="31"/>
      <c r="D88" s="31"/>
      <c r="E88" s="31"/>
      <c r="F88" s="31"/>
      <c r="G88" s="30"/>
      <c r="H88" s="30"/>
    </row>
    <row r="89" customFormat="false" ht="15" hidden="false" customHeight="false" outlineLevel="0" collapsed="false">
      <c r="A89" s="30"/>
      <c r="B89" s="31"/>
      <c r="C89" s="31"/>
      <c r="D89" s="31"/>
      <c r="E89" s="31"/>
      <c r="F89" s="31"/>
      <c r="G89" s="30"/>
      <c r="H89" s="30"/>
    </row>
    <row r="90" customFormat="false" ht="15" hidden="false" customHeight="false" outlineLevel="0" collapsed="false">
      <c r="A90" s="30"/>
      <c r="B90" s="31"/>
      <c r="C90" s="31"/>
      <c r="D90" s="31"/>
      <c r="E90" s="31"/>
      <c r="F90" s="31"/>
      <c r="G90" s="30"/>
      <c r="H90" s="30"/>
    </row>
    <row r="91" customFormat="false" ht="15" hidden="false" customHeight="false" outlineLevel="0" collapsed="false">
      <c r="A91" s="30"/>
      <c r="B91" s="31"/>
      <c r="C91" s="31"/>
      <c r="D91" s="31"/>
      <c r="E91" s="31"/>
      <c r="F91" s="31"/>
      <c r="G91" s="30"/>
      <c r="H91" s="30"/>
    </row>
    <row r="92" customFormat="false" ht="15" hidden="false" customHeight="false" outlineLevel="0" collapsed="false">
      <c r="A92" s="30"/>
      <c r="B92" s="31"/>
      <c r="C92" s="31"/>
      <c r="D92" s="31"/>
      <c r="E92" s="31"/>
      <c r="F92" s="31"/>
      <c r="G92" s="30"/>
      <c r="H92" s="30"/>
    </row>
    <row r="93" customFormat="false" ht="15" hidden="false" customHeight="false" outlineLevel="0" collapsed="false">
      <c r="A93" s="30"/>
      <c r="B93" s="31"/>
      <c r="C93" s="31"/>
      <c r="D93" s="31"/>
      <c r="E93" s="31"/>
      <c r="F93" s="31"/>
      <c r="G93" s="30"/>
      <c r="H93" s="30"/>
    </row>
    <row r="94" customFormat="false" ht="15" hidden="false" customHeight="false" outlineLevel="0" collapsed="false">
      <c r="A94" s="30"/>
      <c r="B94" s="31"/>
      <c r="C94" s="31"/>
      <c r="D94" s="31"/>
      <c r="E94" s="31"/>
      <c r="F94" s="31"/>
      <c r="G94" s="30"/>
      <c r="H94" s="30"/>
    </row>
    <row r="95" customFormat="false" ht="15" hidden="false" customHeight="false" outlineLevel="0" collapsed="false">
      <c r="A95" s="30"/>
      <c r="B95" s="31"/>
      <c r="C95" s="31"/>
      <c r="D95" s="31"/>
      <c r="E95" s="31"/>
      <c r="F95" s="31"/>
      <c r="G95" s="30"/>
      <c r="H95" s="30"/>
    </row>
    <row r="96" customFormat="false" ht="15" hidden="false" customHeight="false" outlineLevel="0" collapsed="false">
      <c r="A96" s="30"/>
      <c r="B96" s="31"/>
      <c r="C96" s="31"/>
      <c r="D96" s="31"/>
      <c r="E96" s="31"/>
      <c r="F96" s="31"/>
      <c r="G96" s="30"/>
      <c r="H96" s="30"/>
    </row>
    <row r="97" customFormat="false" ht="15" hidden="false" customHeight="false" outlineLevel="0" collapsed="false">
      <c r="A97" s="30"/>
      <c r="B97" s="31"/>
      <c r="C97" s="31"/>
      <c r="D97" s="31"/>
      <c r="E97" s="31"/>
      <c r="F97" s="31"/>
      <c r="G97" s="30"/>
      <c r="H97" s="30"/>
    </row>
    <row r="98" customFormat="false" ht="15" hidden="false" customHeight="false" outlineLevel="0" collapsed="false">
      <c r="A98" s="30"/>
      <c r="B98" s="31"/>
      <c r="C98" s="31"/>
      <c r="D98" s="31"/>
      <c r="E98" s="31"/>
      <c r="F98" s="31"/>
      <c r="G98" s="30"/>
      <c r="H98" s="30"/>
    </row>
    <row r="99" customFormat="false" ht="15" hidden="false" customHeight="false" outlineLevel="0" collapsed="false">
      <c r="A99" s="30"/>
      <c r="B99" s="31"/>
      <c r="C99" s="31"/>
      <c r="D99" s="31"/>
      <c r="E99" s="31"/>
      <c r="F99" s="31"/>
      <c r="G99" s="30"/>
      <c r="H99" s="30"/>
    </row>
    <row r="100" customFormat="false" ht="15" hidden="false" customHeight="false" outlineLevel="0" collapsed="false">
      <c r="A100" s="30"/>
      <c r="B100" s="31"/>
      <c r="C100" s="31"/>
      <c r="D100" s="31"/>
      <c r="E100" s="31"/>
      <c r="F100" s="31"/>
      <c r="G100" s="30"/>
      <c r="H100" s="30"/>
    </row>
    <row r="101" customFormat="false" ht="15" hidden="false" customHeight="false" outlineLevel="0" collapsed="false">
      <c r="A101" s="30"/>
      <c r="B101" s="31"/>
      <c r="C101" s="31"/>
      <c r="D101" s="31"/>
      <c r="E101" s="31"/>
      <c r="F101" s="31"/>
      <c r="G101" s="30"/>
      <c r="H101" s="30"/>
    </row>
    <row r="102" customFormat="false" ht="15" hidden="false" customHeight="false" outlineLevel="0" collapsed="false">
      <c r="A102" s="30"/>
      <c r="B102" s="31"/>
      <c r="C102" s="31"/>
      <c r="D102" s="31"/>
      <c r="E102" s="31"/>
      <c r="F102" s="31"/>
      <c r="G102" s="30"/>
      <c r="H102" s="30"/>
    </row>
    <row r="103" customFormat="false" ht="15" hidden="false" customHeight="false" outlineLevel="0" collapsed="false">
      <c r="A103" s="30"/>
      <c r="B103" s="31"/>
      <c r="C103" s="31"/>
      <c r="D103" s="31"/>
      <c r="E103" s="31"/>
      <c r="F103" s="31"/>
      <c r="G103" s="30"/>
      <c r="H103" s="30"/>
    </row>
    <row r="104" customFormat="false" ht="15" hidden="false" customHeight="false" outlineLevel="0" collapsed="false">
      <c r="A104" s="30"/>
      <c r="B104" s="31"/>
      <c r="C104" s="31"/>
      <c r="D104" s="31"/>
      <c r="E104" s="31"/>
      <c r="F104" s="31"/>
      <c r="G104" s="30"/>
      <c r="H104" s="30"/>
    </row>
    <row r="105" customFormat="false" ht="15" hidden="false" customHeight="false" outlineLevel="0" collapsed="false">
      <c r="A105" s="30"/>
      <c r="B105" s="31"/>
      <c r="C105" s="31"/>
      <c r="D105" s="31"/>
      <c r="E105" s="31"/>
      <c r="F105" s="31"/>
      <c r="G105" s="30"/>
      <c r="H105" s="30"/>
    </row>
    <row r="106" customFormat="false" ht="15" hidden="false" customHeight="false" outlineLevel="0" collapsed="false">
      <c r="A106" s="30"/>
      <c r="B106" s="31"/>
      <c r="C106" s="31"/>
      <c r="D106" s="31"/>
      <c r="E106" s="31"/>
      <c r="F106" s="31"/>
      <c r="G106" s="30"/>
      <c r="H106" s="30"/>
    </row>
    <row r="107" customFormat="false" ht="15" hidden="false" customHeight="false" outlineLevel="0" collapsed="false">
      <c r="A107" s="30"/>
      <c r="B107" s="31"/>
      <c r="C107" s="31"/>
      <c r="D107" s="31"/>
      <c r="E107" s="31"/>
      <c r="F107" s="31"/>
      <c r="G107" s="30"/>
      <c r="H107" s="30"/>
    </row>
    <row r="108" customFormat="false" ht="15" hidden="false" customHeight="false" outlineLevel="0" collapsed="false">
      <c r="A108" s="30"/>
      <c r="B108" s="31"/>
      <c r="C108" s="31"/>
      <c r="D108" s="31"/>
      <c r="E108" s="31"/>
      <c r="F108" s="31"/>
      <c r="G108" s="30"/>
      <c r="H108" s="30"/>
    </row>
    <row r="109" customFormat="false" ht="15" hidden="false" customHeight="false" outlineLevel="0" collapsed="false">
      <c r="A109" s="30"/>
      <c r="B109" s="31"/>
      <c r="C109" s="31"/>
      <c r="D109" s="31"/>
      <c r="E109" s="31"/>
      <c r="F109" s="31"/>
      <c r="G109" s="30"/>
      <c r="H109" s="30"/>
    </row>
    <row r="110" customFormat="false" ht="15" hidden="false" customHeight="false" outlineLevel="0" collapsed="false">
      <c r="A110" s="30"/>
      <c r="B110" s="31"/>
      <c r="C110" s="31"/>
      <c r="D110" s="31"/>
      <c r="E110" s="31"/>
      <c r="F110" s="31"/>
      <c r="G110" s="30"/>
      <c r="H110" s="30"/>
    </row>
    <row r="111" customFormat="false" ht="15" hidden="false" customHeight="false" outlineLevel="0" collapsed="false">
      <c r="A111" s="30"/>
      <c r="B111" s="31"/>
      <c r="C111" s="31"/>
      <c r="D111" s="31"/>
      <c r="E111" s="31"/>
      <c r="F111" s="31"/>
      <c r="G111" s="30"/>
      <c r="H111" s="30"/>
    </row>
    <row r="112" customFormat="false" ht="15" hidden="false" customHeight="false" outlineLevel="0" collapsed="false">
      <c r="A112" s="30"/>
      <c r="B112" s="31"/>
      <c r="C112" s="31"/>
      <c r="D112" s="31"/>
      <c r="E112" s="31"/>
      <c r="F112" s="31"/>
      <c r="G112" s="30"/>
      <c r="H112" s="30"/>
    </row>
    <row r="113" customFormat="false" ht="15" hidden="false" customHeight="false" outlineLevel="0" collapsed="false">
      <c r="A113" s="30"/>
      <c r="B113" s="31"/>
      <c r="C113" s="31"/>
      <c r="D113" s="31"/>
      <c r="E113" s="31"/>
      <c r="F113" s="31"/>
      <c r="G113" s="30"/>
      <c r="H113" s="30"/>
    </row>
    <row r="114" customFormat="false" ht="15" hidden="false" customHeight="false" outlineLevel="0" collapsed="false">
      <c r="A114" s="30"/>
      <c r="B114" s="31"/>
      <c r="C114" s="31"/>
      <c r="D114" s="31"/>
      <c r="E114" s="31"/>
      <c r="F114" s="31"/>
      <c r="G114" s="30"/>
      <c r="H114" s="30"/>
    </row>
    <row r="115" customFormat="false" ht="15" hidden="false" customHeight="false" outlineLevel="0" collapsed="false">
      <c r="A115" s="30"/>
      <c r="B115" s="31"/>
      <c r="C115" s="31"/>
      <c r="D115" s="31"/>
      <c r="E115" s="31"/>
      <c r="F115" s="31"/>
      <c r="G115" s="30"/>
      <c r="H115" s="30"/>
    </row>
    <row r="116" customFormat="false" ht="15" hidden="false" customHeight="false" outlineLevel="0" collapsed="false">
      <c r="A116" s="30"/>
      <c r="B116" s="31"/>
      <c r="C116" s="31"/>
      <c r="D116" s="31"/>
      <c r="E116" s="31"/>
      <c r="F116" s="31"/>
      <c r="G116" s="30"/>
      <c r="H116" s="30"/>
    </row>
    <row r="117" customFormat="false" ht="15" hidden="false" customHeight="false" outlineLevel="0" collapsed="false">
      <c r="A117" s="30"/>
      <c r="B117" s="31"/>
      <c r="C117" s="31"/>
      <c r="D117" s="31"/>
      <c r="E117" s="31"/>
      <c r="F117" s="31"/>
      <c r="G117" s="30"/>
      <c r="H117" s="30"/>
    </row>
    <row r="118" customFormat="false" ht="15" hidden="false" customHeight="false" outlineLevel="0" collapsed="false">
      <c r="A118" s="30"/>
      <c r="B118" s="31"/>
      <c r="C118" s="31"/>
      <c r="D118" s="31"/>
      <c r="E118" s="31"/>
      <c r="F118" s="31"/>
      <c r="G118" s="30"/>
      <c r="H118" s="30"/>
    </row>
    <row r="119" customFormat="false" ht="15" hidden="false" customHeight="false" outlineLevel="0" collapsed="false">
      <c r="A119" s="30"/>
      <c r="B119" s="31"/>
      <c r="C119" s="31"/>
      <c r="D119" s="31"/>
      <c r="E119" s="31"/>
      <c r="F119" s="31"/>
      <c r="G119" s="30"/>
      <c r="H119" s="30"/>
    </row>
    <row r="120" customFormat="false" ht="15" hidden="false" customHeight="false" outlineLevel="0" collapsed="false">
      <c r="A120" s="30"/>
      <c r="B120" s="31"/>
      <c r="C120" s="31"/>
      <c r="D120" s="31"/>
      <c r="E120" s="31"/>
      <c r="F120" s="31"/>
      <c r="G120" s="30"/>
      <c r="H120" s="30"/>
    </row>
    <row r="121" customFormat="false" ht="15" hidden="false" customHeight="false" outlineLevel="0" collapsed="false">
      <c r="A121" s="30"/>
      <c r="B121" s="31"/>
      <c r="C121" s="31"/>
      <c r="D121" s="31"/>
      <c r="E121" s="31"/>
      <c r="F121" s="31"/>
      <c r="G121" s="30"/>
      <c r="H121" s="30"/>
    </row>
    <row r="122" customFormat="false" ht="15" hidden="false" customHeight="false" outlineLevel="0" collapsed="false">
      <c r="A122" s="30"/>
      <c r="B122" s="31"/>
      <c r="C122" s="31"/>
      <c r="D122" s="31"/>
      <c r="E122" s="31"/>
      <c r="F122" s="31"/>
      <c r="G122" s="30"/>
      <c r="H122" s="30"/>
    </row>
    <row r="123" customFormat="false" ht="15" hidden="false" customHeight="false" outlineLevel="0" collapsed="false">
      <c r="A123" s="30"/>
      <c r="B123" s="31"/>
      <c r="C123" s="31"/>
      <c r="D123" s="31"/>
      <c r="E123" s="31"/>
      <c r="F123" s="31"/>
      <c r="G123" s="30"/>
      <c r="H123" s="30"/>
    </row>
    <row r="124" customFormat="false" ht="15" hidden="false" customHeight="false" outlineLevel="0" collapsed="false">
      <c r="A124" s="30"/>
      <c r="B124" s="31"/>
      <c r="C124" s="31"/>
      <c r="D124" s="31"/>
      <c r="E124" s="31"/>
      <c r="F124" s="31"/>
      <c r="G124" s="30"/>
      <c r="H124" s="30"/>
    </row>
    <row r="125" customFormat="false" ht="15" hidden="false" customHeight="false" outlineLevel="0" collapsed="false">
      <c r="A125" s="30"/>
      <c r="B125" s="31"/>
      <c r="C125" s="31"/>
      <c r="D125" s="31"/>
      <c r="E125" s="31"/>
      <c r="F125" s="31"/>
      <c r="G125" s="30"/>
      <c r="H125" s="30"/>
    </row>
    <row r="126" customFormat="false" ht="15" hidden="false" customHeight="false" outlineLevel="0" collapsed="false">
      <c r="A126" s="30"/>
      <c r="B126" s="31"/>
      <c r="C126" s="31"/>
      <c r="D126" s="31"/>
      <c r="E126" s="31"/>
      <c r="F126" s="31"/>
      <c r="G126" s="30"/>
      <c r="H126" s="30"/>
    </row>
    <row r="127" customFormat="false" ht="15" hidden="false" customHeight="false" outlineLevel="0" collapsed="false">
      <c r="A127" s="30"/>
      <c r="B127" s="31"/>
      <c r="C127" s="31"/>
      <c r="D127" s="31"/>
      <c r="E127" s="31"/>
      <c r="F127" s="31"/>
      <c r="G127" s="30"/>
      <c r="H127" s="30"/>
    </row>
    <row r="128" customFormat="false" ht="15" hidden="false" customHeight="false" outlineLevel="0" collapsed="false">
      <c r="A128" s="30"/>
      <c r="B128" s="31"/>
      <c r="C128" s="31"/>
      <c r="D128" s="31"/>
      <c r="E128" s="31"/>
      <c r="F128" s="31"/>
      <c r="G128" s="30"/>
      <c r="H128" s="30"/>
    </row>
    <row r="129" customFormat="false" ht="15" hidden="false" customHeight="false" outlineLevel="0" collapsed="false">
      <c r="A129" s="30"/>
      <c r="B129" s="31"/>
      <c r="C129" s="31"/>
      <c r="D129" s="31"/>
      <c r="E129" s="31"/>
      <c r="F129" s="31"/>
      <c r="G129" s="30"/>
      <c r="H129" s="30"/>
    </row>
    <row r="130" customFormat="false" ht="15" hidden="false" customHeight="false" outlineLevel="0" collapsed="false">
      <c r="A130" s="30"/>
      <c r="B130" s="31"/>
      <c r="C130" s="31"/>
      <c r="D130" s="31"/>
      <c r="E130" s="31"/>
      <c r="F130" s="31"/>
      <c r="G130" s="30"/>
      <c r="H130" s="30"/>
    </row>
    <row r="131" customFormat="false" ht="15" hidden="false" customHeight="false" outlineLevel="0" collapsed="false">
      <c r="A131" s="30"/>
      <c r="B131" s="31"/>
      <c r="C131" s="31"/>
      <c r="D131" s="31"/>
      <c r="E131" s="31"/>
      <c r="F131" s="31"/>
      <c r="G131" s="30"/>
      <c r="H131" s="30"/>
    </row>
    <row r="132" customFormat="false" ht="15" hidden="false" customHeight="false" outlineLevel="0" collapsed="false">
      <c r="A132" s="30"/>
      <c r="B132" s="31"/>
      <c r="C132" s="31"/>
      <c r="D132" s="31"/>
      <c r="E132" s="31"/>
      <c r="F132" s="31"/>
      <c r="G132" s="30"/>
      <c r="H132" s="30"/>
    </row>
    <row r="133" customFormat="false" ht="15" hidden="false" customHeight="false" outlineLevel="0" collapsed="false">
      <c r="A133" s="30"/>
      <c r="B133" s="31"/>
      <c r="C133" s="31"/>
      <c r="D133" s="31"/>
      <c r="E133" s="31"/>
      <c r="F133" s="31"/>
      <c r="G133" s="30"/>
      <c r="H133" s="30"/>
    </row>
    <row r="134" customFormat="false" ht="15" hidden="false" customHeight="false" outlineLevel="0" collapsed="false">
      <c r="A134" s="30"/>
      <c r="B134" s="31"/>
      <c r="C134" s="31"/>
      <c r="D134" s="31"/>
      <c r="E134" s="31"/>
      <c r="F134" s="31"/>
      <c r="G134" s="30"/>
      <c r="H134" s="30"/>
    </row>
    <row r="135" customFormat="false" ht="15" hidden="false" customHeight="false" outlineLevel="0" collapsed="false">
      <c r="A135" s="30"/>
      <c r="B135" s="31"/>
      <c r="C135" s="31"/>
      <c r="D135" s="31"/>
      <c r="E135" s="31"/>
      <c r="F135" s="31"/>
      <c r="G135" s="30"/>
      <c r="H135" s="30"/>
    </row>
    <row r="136" customFormat="false" ht="15" hidden="false" customHeight="false" outlineLevel="0" collapsed="false">
      <c r="A136" s="30"/>
      <c r="B136" s="31"/>
      <c r="C136" s="31"/>
      <c r="D136" s="31"/>
      <c r="E136" s="31"/>
      <c r="F136" s="31"/>
      <c r="G136" s="30"/>
      <c r="H136" s="30"/>
    </row>
    <row r="137" customFormat="false" ht="15" hidden="false" customHeight="false" outlineLevel="0" collapsed="false">
      <c r="A137" s="30"/>
      <c r="B137" s="31"/>
      <c r="C137" s="31"/>
      <c r="D137" s="31"/>
      <c r="E137" s="31"/>
      <c r="F137" s="31"/>
      <c r="G137" s="30"/>
      <c r="H137" s="30"/>
    </row>
    <row r="138" customFormat="false" ht="15" hidden="false" customHeight="false" outlineLevel="0" collapsed="false">
      <c r="A138" s="30"/>
      <c r="B138" s="31"/>
      <c r="C138" s="31"/>
      <c r="D138" s="31"/>
      <c r="E138" s="31"/>
      <c r="F138" s="31"/>
      <c r="G138" s="30"/>
      <c r="H138" s="30"/>
    </row>
    <row r="139" customFormat="false" ht="15" hidden="false" customHeight="false" outlineLevel="0" collapsed="false">
      <c r="A139" s="30"/>
      <c r="B139" s="31"/>
      <c r="C139" s="31"/>
      <c r="D139" s="31"/>
      <c r="E139" s="31"/>
      <c r="F139" s="31"/>
      <c r="G139" s="30"/>
      <c r="H139" s="30"/>
    </row>
    <row r="140" customFormat="false" ht="15" hidden="false" customHeight="false" outlineLevel="0" collapsed="false">
      <c r="A140" s="30"/>
      <c r="B140" s="31"/>
      <c r="C140" s="31"/>
      <c r="D140" s="31"/>
      <c r="E140" s="31"/>
      <c r="F140" s="31"/>
      <c r="G140" s="30"/>
      <c r="H140" s="30"/>
    </row>
    <row r="141" customFormat="false" ht="15" hidden="false" customHeight="false" outlineLevel="0" collapsed="false">
      <c r="A141" s="30"/>
      <c r="B141" s="31"/>
      <c r="C141" s="31"/>
      <c r="D141" s="31"/>
      <c r="E141" s="31"/>
      <c r="F141" s="31"/>
      <c r="G141" s="30"/>
      <c r="H141" s="30"/>
    </row>
    <row r="142" customFormat="false" ht="15" hidden="false" customHeight="false" outlineLevel="0" collapsed="false">
      <c r="A142" s="30"/>
      <c r="B142" s="31"/>
      <c r="C142" s="31"/>
      <c r="D142" s="31"/>
      <c r="E142" s="31"/>
      <c r="F142" s="31"/>
      <c r="G142" s="30"/>
      <c r="H142" s="30"/>
    </row>
    <row r="143" customFormat="false" ht="15" hidden="false" customHeight="false" outlineLevel="0" collapsed="false">
      <c r="A143" s="30"/>
      <c r="B143" s="31"/>
      <c r="C143" s="31"/>
      <c r="D143" s="31"/>
      <c r="E143" s="31"/>
      <c r="F143" s="31"/>
      <c r="G143" s="30"/>
      <c r="H143" s="30"/>
    </row>
    <row r="144" customFormat="false" ht="15" hidden="false" customHeight="false" outlineLevel="0" collapsed="false">
      <c r="A144" s="30"/>
      <c r="B144" s="31"/>
      <c r="C144" s="31"/>
      <c r="D144" s="31"/>
      <c r="E144" s="31"/>
      <c r="F144" s="31"/>
      <c r="G144" s="30"/>
      <c r="H144" s="30"/>
    </row>
    <row r="145" customFormat="false" ht="15" hidden="false" customHeight="false" outlineLevel="0" collapsed="false">
      <c r="A145" s="30"/>
      <c r="B145" s="31"/>
      <c r="C145" s="31"/>
      <c r="D145" s="31"/>
      <c r="E145" s="31"/>
      <c r="F145" s="31"/>
      <c r="G145" s="30"/>
      <c r="H145" s="30"/>
    </row>
    <row r="146" customFormat="false" ht="15" hidden="false" customHeight="false" outlineLevel="0" collapsed="false">
      <c r="A146" s="30"/>
      <c r="B146" s="31"/>
      <c r="C146" s="31"/>
      <c r="D146" s="31"/>
      <c r="E146" s="31"/>
      <c r="F146" s="31"/>
      <c r="G146" s="30"/>
      <c r="H146" s="30"/>
    </row>
    <row r="147" customFormat="false" ht="15" hidden="false" customHeight="false" outlineLevel="0" collapsed="false">
      <c r="A147" s="30"/>
      <c r="B147" s="31"/>
      <c r="C147" s="31"/>
      <c r="D147" s="31"/>
      <c r="E147" s="31"/>
      <c r="F147" s="31"/>
      <c r="G147" s="30"/>
      <c r="H147" s="30"/>
    </row>
    <row r="148" customFormat="false" ht="15" hidden="false" customHeight="false" outlineLevel="0" collapsed="false">
      <c r="A148" s="30"/>
      <c r="B148" s="31"/>
      <c r="C148" s="31"/>
      <c r="D148" s="31"/>
      <c r="E148" s="31"/>
      <c r="F148" s="31"/>
      <c r="G148" s="30"/>
      <c r="H148" s="30"/>
    </row>
    <row r="149" customFormat="false" ht="15" hidden="false" customHeight="false" outlineLevel="0" collapsed="false">
      <c r="A149" s="30"/>
      <c r="B149" s="31"/>
      <c r="C149" s="31"/>
      <c r="D149" s="31"/>
      <c r="E149" s="31"/>
      <c r="F149" s="31"/>
      <c r="G149" s="30"/>
      <c r="H149" s="30"/>
    </row>
    <row r="150" customFormat="false" ht="15" hidden="false" customHeight="false" outlineLevel="0" collapsed="false">
      <c r="A150" s="30"/>
      <c r="B150" s="31"/>
      <c r="C150" s="31"/>
      <c r="D150" s="31"/>
      <c r="E150" s="31"/>
      <c r="F150" s="31"/>
      <c r="G150" s="30"/>
      <c r="H150" s="30"/>
    </row>
    <row r="151" customFormat="false" ht="15" hidden="false" customHeight="false" outlineLevel="0" collapsed="false">
      <c r="A151" s="30"/>
      <c r="B151" s="31"/>
      <c r="C151" s="31"/>
      <c r="D151" s="31"/>
      <c r="E151" s="31"/>
      <c r="F151" s="31"/>
      <c r="G151" s="30"/>
      <c r="H151" s="30"/>
    </row>
    <row r="152" customFormat="false" ht="15" hidden="false" customHeight="false" outlineLevel="0" collapsed="false">
      <c r="A152" s="30"/>
      <c r="B152" s="31"/>
      <c r="C152" s="31"/>
      <c r="D152" s="31"/>
      <c r="E152" s="31"/>
      <c r="F152" s="31"/>
      <c r="G152" s="30"/>
      <c r="H152" s="30"/>
    </row>
    <row r="153" customFormat="false" ht="15" hidden="false" customHeight="false" outlineLevel="0" collapsed="false">
      <c r="A153" s="30"/>
      <c r="B153" s="31"/>
      <c r="C153" s="31"/>
      <c r="D153" s="31"/>
      <c r="E153" s="31"/>
      <c r="F153" s="31"/>
      <c r="G153" s="30"/>
      <c r="H153" s="30"/>
    </row>
    <row r="154" customFormat="false" ht="15" hidden="false" customHeight="false" outlineLevel="0" collapsed="false">
      <c r="A154" s="30"/>
      <c r="B154" s="31"/>
      <c r="C154" s="31"/>
      <c r="D154" s="31"/>
      <c r="E154" s="31"/>
      <c r="F154" s="31"/>
      <c r="G154" s="30"/>
      <c r="H154" s="30"/>
    </row>
    <row r="155" customFormat="false" ht="15" hidden="false" customHeight="false" outlineLevel="0" collapsed="false">
      <c r="A155" s="30"/>
      <c r="B155" s="31"/>
      <c r="C155" s="31"/>
      <c r="D155" s="31"/>
      <c r="E155" s="31"/>
      <c r="F155" s="31"/>
      <c r="G155" s="30"/>
      <c r="H155" s="30"/>
    </row>
    <row r="156" customFormat="false" ht="15" hidden="false" customHeight="false" outlineLevel="0" collapsed="false">
      <c r="A156" s="30"/>
      <c r="B156" s="31"/>
      <c r="C156" s="31"/>
      <c r="D156" s="31"/>
      <c r="E156" s="31"/>
      <c r="F156" s="31"/>
      <c r="G156" s="30"/>
      <c r="H156" s="30"/>
    </row>
    <row r="157" customFormat="false" ht="15" hidden="false" customHeight="false" outlineLevel="0" collapsed="false">
      <c r="A157" s="30"/>
      <c r="B157" s="31"/>
      <c r="C157" s="31"/>
      <c r="D157" s="31"/>
      <c r="E157" s="31"/>
      <c r="F157" s="31"/>
      <c r="G157" s="30"/>
      <c r="H157" s="30"/>
    </row>
    <row r="158" customFormat="false" ht="15" hidden="false" customHeight="false" outlineLevel="0" collapsed="false">
      <c r="A158" s="30"/>
      <c r="B158" s="31"/>
      <c r="C158" s="31"/>
      <c r="D158" s="31"/>
      <c r="E158" s="31"/>
      <c r="F158" s="31"/>
      <c r="G158" s="30"/>
      <c r="H158" s="30"/>
    </row>
    <row r="159" customFormat="false" ht="15" hidden="false" customHeight="false" outlineLevel="0" collapsed="false">
      <c r="A159" s="30"/>
      <c r="B159" s="31"/>
      <c r="C159" s="31"/>
      <c r="D159" s="31"/>
      <c r="E159" s="31"/>
      <c r="F159" s="31"/>
      <c r="G159" s="30"/>
      <c r="H159" s="30"/>
    </row>
    <row r="160" customFormat="false" ht="15" hidden="false" customHeight="false" outlineLevel="0" collapsed="false">
      <c r="A160" s="30"/>
      <c r="B160" s="31"/>
      <c r="C160" s="31"/>
      <c r="D160" s="31"/>
      <c r="E160" s="31"/>
      <c r="F160" s="31"/>
      <c r="G160" s="30"/>
      <c r="H160" s="30"/>
    </row>
    <row r="161" customFormat="false" ht="15" hidden="false" customHeight="false" outlineLevel="0" collapsed="false">
      <c r="A161" s="30"/>
      <c r="B161" s="31"/>
      <c r="C161" s="31"/>
      <c r="D161" s="31"/>
      <c r="E161" s="31"/>
      <c r="F161" s="31"/>
      <c r="G161" s="30"/>
      <c r="H161" s="30"/>
    </row>
    <row r="162" customFormat="false" ht="15" hidden="false" customHeight="false" outlineLevel="0" collapsed="false">
      <c r="A162" s="30"/>
      <c r="B162" s="31"/>
      <c r="C162" s="31"/>
      <c r="D162" s="31"/>
      <c r="E162" s="31"/>
      <c r="F162" s="31"/>
      <c r="G162" s="30"/>
      <c r="H162" s="30"/>
    </row>
    <row r="163" customFormat="false" ht="15" hidden="false" customHeight="false" outlineLevel="0" collapsed="false">
      <c r="A163" s="30"/>
      <c r="B163" s="31"/>
      <c r="C163" s="31"/>
      <c r="D163" s="31"/>
      <c r="E163" s="31"/>
      <c r="F163" s="31"/>
      <c r="G163" s="30"/>
      <c r="H163" s="30"/>
    </row>
    <row r="164" customFormat="false" ht="15" hidden="false" customHeight="false" outlineLevel="0" collapsed="false">
      <c r="A164" s="30"/>
      <c r="B164" s="31"/>
      <c r="C164" s="31"/>
      <c r="D164" s="31"/>
      <c r="E164" s="31"/>
      <c r="F164" s="31"/>
      <c r="G164" s="30"/>
      <c r="H164" s="30"/>
    </row>
    <row r="165" customFormat="false" ht="15" hidden="false" customHeight="false" outlineLevel="0" collapsed="false">
      <c r="A165" s="30"/>
      <c r="B165" s="31"/>
      <c r="C165" s="31"/>
      <c r="D165" s="31"/>
      <c r="E165" s="31"/>
      <c r="F165" s="31"/>
      <c r="G165" s="30"/>
      <c r="H165" s="30"/>
    </row>
    <row r="166" customFormat="false" ht="15" hidden="false" customHeight="false" outlineLevel="0" collapsed="false">
      <c r="A166" s="30"/>
      <c r="B166" s="31"/>
      <c r="C166" s="31"/>
      <c r="D166" s="31"/>
      <c r="E166" s="31"/>
      <c r="F166" s="31"/>
      <c r="G166" s="30"/>
      <c r="H166" s="30"/>
    </row>
    <row r="167" customFormat="false" ht="15" hidden="false" customHeight="false" outlineLevel="0" collapsed="false">
      <c r="A167" s="30"/>
      <c r="B167" s="31"/>
      <c r="C167" s="31"/>
      <c r="D167" s="31"/>
      <c r="E167" s="31"/>
      <c r="F167" s="31"/>
      <c r="G167" s="30"/>
      <c r="H167" s="30"/>
    </row>
    <row r="168" customFormat="false" ht="15" hidden="false" customHeight="false" outlineLevel="0" collapsed="false">
      <c r="A168" s="30"/>
      <c r="B168" s="31"/>
      <c r="C168" s="31"/>
      <c r="D168" s="31"/>
      <c r="E168" s="31"/>
      <c r="F168" s="31"/>
      <c r="G168" s="30"/>
      <c r="H168" s="30"/>
    </row>
    <row r="169" customFormat="false" ht="15" hidden="false" customHeight="false" outlineLevel="0" collapsed="false">
      <c r="A169" s="30"/>
      <c r="B169" s="31"/>
      <c r="C169" s="31"/>
      <c r="D169" s="31"/>
      <c r="E169" s="31"/>
      <c r="F169" s="31"/>
      <c r="G169" s="30"/>
      <c r="H169" s="30"/>
    </row>
    <row r="170" customFormat="false" ht="15" hidden="false" customHeight="false" outlineLevel="0" collapsed="false">
      <c r="A170" s="30"/>
      <c r="B170" s="31"/>
      <c r="C170" s="31"/>
      <c r="D170" s="31"/>
      <c r="E170" s="31"/>
      <c r="F170" s="31"/>
      <c r="G170" s="30"/>
      <c r="H170" s="30"/>
    </row>
    <row r="171" customFormat="false" ht="15" hidden="false" customHeight="false" outlineLevel="0" collapsed="false">
      <c r="A171" s="30"/>
      <c r="B171" s="31"/>
      <c r="C171" s="31"/>
      <c r="D171" s="31"/>
      <c r="E171" s="31"/>
      <c r="F171" s="31"/>
      <c r="G171" s="30"/>
      <c r="H171" s="30"/>
    </row>
    <row r="172" customFormat="false" ht="15" hidden="false" customHeight="false" outlineLevel="0" collapsed="false">
      <c r="A172" s="30"/>
      <c r="B172" s="31"/>
      <c r="C172" s="31"/>
      <c r="D172" s="31"/>
      <c r="E172" s="31"/>
      <c r="F172" s="31"/>
      <c r="G172" s="30"/>
      <c r="H172" s="30"/>
    </row>
    <row r="173" customFormat="false" ht="15" hidden="false" customHeight="false" outlineLevel="0" collapsed="false">
      <c r="A173" s="30"/>
      <c r="B173" s="31"/>
      <c r="C173" s="31"/>
      <c r="D173" s="31"/>
      <c r="E173" s="31"/>
      <c r="F173" s="31"/>
      <c r="G173" s="30"/>
      <c r="H173" s="30"/>
    </row>
    <row r="174" customFormat="false" ht="15" hidden="false" customHeight="false" outlineLevel="0" collapsed="false">
      <c r="A174" s="30"/>
      <c r="B174" s="31"/>
      <c r="C174" s="31"/>
      <c r="D174" s="31"/>
      <c r="E174" s="31"/>
      <c r="F174" s="31"/>
      <c r="G174" s="30"/>
      <c r="H174" s="30"/>
    </row>
    <row r="175" customFormat="false" ht="15" hidden="false" customHeight="false" outlineLevel="0" collapsed="false">
      <c r="A175" s="30"/>
      <c r="B175" s="31"/>
      <c r="C175" s="31"/>
      <c r="D175" s="31"/>
      <c r="E175" s="31"/>
      <c r="F175" s="31"/>
      <c r="G175" s="30"/>
      <c r="H175" s="30"/>
    </row>
    <row r="176" customFormat="false" ht="15" hidden="false" customHeight="false" outlineLevel="0" collapsed="false">
      <c r="A176" s="30"/>
      <c r="B176" s="31"/>
      <c r="C176" s="31"/>
      <c r="D176" s="31"/>
      <c r="E176" s="31"/>
      <c r="F176" s="31"/>
      <c r="G176" s="30"/>
      <c r="H176" s="30"/>
    </row>
    <row r="177" customFormat="false" ht="15" hidden="false" customHeight="false" outlineLevel="0" collapsed="false">
      <c r="A177" s="30"/>
      <c r="B177" s="31"/>
      <c r="C177" s="31"/>
      <c r="D177" s="31"/>
      <c r="E177" s="31"/>
      <c r="F177" s="31"/>
      <c r="G177" s="30"/>
      <c r="H177" s="30"/>
    </row>
    <row r="178" customFormat="false" ht="15" hidden="false" customHeight="false" outlineLevel="0" collapsed="false">
      <c r="A178" s="30"/>
      <c r="B178" s="31"/>
      <c r="C178" s="31"/>
      <c r="D178" s="31"/>
      <c r="E178" s="31"/>
      <c r="F178" s="31"/>
      <c r="G178" s="30"/>
      <c r="H178" s="30"/>
    </row>
    <row r="179" customFormat="false" ht="15" hidden="false" customHeight="false" outlineLevel="0" collapsed="false">
      <c r="A179" s="30"/>
      <c r="B179" s="31"/>
      <c r="C179" s="31"/>
      <c r="D179" s="31"/>
      <c r="E179" s="31"/>
      <c r="F179" s="31"/>
      <c r="G179" s="30"/>
      <c r="H179" s="30"/>
    </row>
    <row r="180" customFormat="false" ht="15" hidden="false" customHeight="false" outlineLevel="0" collapsed="false">
      <c r="A180" s="30"/>
      <c r="B180" s="31"/>
      <c r="C180" s="31"/>
      <c r="D180" s="31"/>
      <c r="E180" s="31"/>
      <c r="F180" s="31"/>
      <c r="G180" s="30"/>
      <c r="H180" s="30"/>
    </row>
    <row r="181" customFormat="false" ht="15" hidden="false" customHeight="false" outlineLevel="0" collapsed="false">
      <c r="A181" s="30"/>
      <c r="B181" s="31"/>
      <c r="C181" s="31"/>
      <c r="D181" s="31"/>
      <c r="E181" s="31"/>
      <c r="F181" s="31"/>
      <c r="G181" s="30"/>
      <c r="H181" s="30"/>
    </row>
    <row r="182" customFormat="false" ht="15" hidden="false" customHeight="false" outlineLevel="0" collapsed="false">
      <c r="A182" s="30"/>
      <c r="B182" s="31"/>
      <c r="C182" s="31"/>
      <c r="D182" s="31"/>
      <c r="E182" s="31"/>
      <c r="F182" s="31"/>
      <c r="G182" s="30"/>
      <c r="H182" s="30"/>
    </row>
    <row r="183" customFormat="false" ht="15" hidden="false" customHeight="false" outlineLevel="0" collapsed="false">
      <c r="A183" s="30"/>
      <c r="B183" s="31"/>
      <c r="C183" s="31"/>
      <c r="D183" s="31"/>
      <c r="E183" s="31"/>
      <c r="F183" s="31"/>
      <c r="G183" s="30"/>
      <c r="H183" s="30"/>
    </row>
    <row r="184" customFormat="false" ht="15" hidden="false" customHeight="false" outlineLevel="0" collapsed="false">
      <c r="A184" s="30"/>
      <c r="B184" s="31"/>
      <c r="C184" s="31"/>
      <c r="D184" s="31"/>
      <c r="E184" s="31"/>
      <c r="F184" s="31"/>
      <c r="G184" s="30"/>
      <c r="H184" s="30"/>
    </row>
    <row r="185" customFormat="false" ht="15" hidden="false" customHeight="false" outlineLevel="0" collapsed="false">
      <c r="A185" s="30"/>
      <c r="B185" s="31"/>
      <c r="C185" s="31"/>
      <c r="D185" s="31"/>
      <c r="E185" s="31"/>
      <c r="F185" s="31"/>
      <c r="G185" s="30"/>
      <c r="H185" s="30"/>
    </row>
    <row r="186" customFormat="false" ht="15" hidden="false" customHeight="false" outlineLevel="0" collapsed="false">
      <c r="A186" s="30"/>
      <c r="B186" s="31"/>
      <c r="C186" s="31"/>
      <c r="D186" s="31"/>
      <c r="E186" s="31"/>
      <c r="F186" s="31"/>
      <c r="G186" s="30"/>
      <c r="H186" s="30"/>
    </row>
    <row r="187" customFormat="false" ht="15" hidden="false" customHeight="false" outlineLevel="0" collapsed="false">
      <c r="A187" s="30"/>
      <c r="B187" s="31"/>
      <c r="C187" s="31"/>
      <c r="D187" s="31"/>
      <c r="E187" s="31"/>
      <c r="F187" s="31"/>
      <c r="G187" s="30"/>
      <c r="H187" s="30"/>
    </row>
    <row r="188" customFormat="false" ht="15" hidden="false" customHeight="false" outlineLevel="0" collapsed="false">
      <c r="A188" s="30"/>
      <c r="B188" s="31"/>
      <c r="C188" s="31"/>
      <c r="D188" s="31"/>
      <c r="E188" s="31"/>
      <c r="F188" s="31"/>
      <c r="G188" s="30"/>
      <c r="H188" s="30"/>
    </row>
    <row r="189" customFormat="false" ht="15" hidden="false" customHeight="false" outlineLevel="0" collapsed="false">
      <c r="A189" s="30"/>
      <c r="B189" s="31"/>
      <c r="C189" s="31"/>
      <c r="D189" s="31"/>
      <c r="E189" s="31"/>
      <c r="F189" s="31"/>
      <c r="G189" s="30"/>
      <c r="H189" s="30"/>
    </row>
    <row r="190" customFormat="false" ht="15" hidden="false" customHeight="false" outlineLevel="0" collapsed="false">
      <c r="A190" s="30"/>
      <c r="B190" s="31"/>
      <c r="C190" s="31"/>
      <c r="D190" s="31"/>
      <c r="E190" s="31"/>
      <c r="F190" s="31"/>
      <c r="G190" s="30"/>
      <c r="H190" s="30"/>
    </row>
    <row r="191" customFormat="false" ht="15" hidden="false" customHeight="false" outlineLevel="0" collapsed="false">
      <c r="A191" s="30"/>
      <c r="B191" s="31"/>
      <c r="C191" s="31"/>
      <c r="D191" s="31"/>
      <c r="E191" s="31"/>
      <c r="F191" s="31"/>
      <c r="G191" s="30"/>
      <c r="H191" s="30"/>
    </row>
    <row r="192" customFormat="false" ht="15" hidden="false" customHeight="false" outlineLevel="0" collapsed="false">
      <c r="A192" s="30"/>
      <c r="B192" s="31"/>
      <c r="C192" s="31"/>
      <c r="D192" s="31"/>
      <c r="E192" s="31"/>
      <c r="F192" s="31"/>
      <c r="G192" s="30"/>
      <c r="H192" s="30"/>
    </row>
    <row r="193" customFormat="false" ht="15" hidden="false" customHeight="false" outlineLevel="0" collapsed="false">
      <c r="A193" s="30"/>
      <c r="B193" s="31"/>
      <c r="C193" s="31"/>
      <c r="D193" s="31"/>
      <c r="E193" s="31"/>
      <c r="F193" s="31"/>
      <c r="G193" s="30"/>
      <c r="H193" s="30"/>
    </row>
    <row r="194" customFormat="false" ht="15" hidden="false" customHeight="false" outlineLevel="0" collapsed="false">
      <c r="A194" s="30"/>
      <c r="B194" s="31"/>
      <c r="C194" s="31"/>
      <c r="D194" s="31"/>
      <c r="E194" s="31"/>
      <c r="F194" s="31"/>
      <c r="G194" s="30"/>
      <c r="H194" s="30"/>
    </row>
    <row r="195" customFormat="false" ht="15" hidden="false" customHeight="false" outlineLevel="0" collapsed="false">
      <c r="A195" s="30"/>
      <c r="B195" s="31"/>
      <c r="C195" s="31"/>
      <c r="D195" s="31"/>
      <c r="E195" s="31"/>
      <c r="F195" s="31"/>
      <c r="G195" s="30"/>
      <c r="H195" s="30"/>
    </row>
    <row r="196" customFormat="false" ht="15" hidden="false" customHeight="false" outlineLevel="0" collapsed="false">
      <c r="A196" s="30"/>
      <c r="B196" s="31"/>
      <c r="C196" s="31"/>
      <c r="D196" s="31"/>
      <c r="E196" s="31"/>
      <c r="F196" s="31"/>
      <c r="G196" s="30"/>
      <c r="H196" s="30"/>
    </row>
    <row r="197" customFormat="false" ht="15" hidden="false" customHeight="false" outlineLevel="0" collapsed="false">
      <c r="A197" s="30"/>
      <c r="B197" s="31"/>
      <c r="C197" s="31"/>
      <c r="D197" s="31"/>
      <c r="E197" s="31"/>
      <c r="F197" s="31"/>
      <c r="G197" s="30"/>
      <c r="H197" s="30"/>
    </row>
    <row r="198" customFormat="false" ht="15" hidden="false" customHeight="false" outlineLevel="0" collapsed="false">
      <c r="A198" s="30"/>
      <c r="B198" s="31"/>
      <c r="C198" s="31"/>
      <c r="D198" s="31"/>
      <c r="E198" s="31"/>
      <c r="F198" s="31"/>
      <c r="G198" s="30"/>
      <c r="H198" s="30"/>
    </row>
    <row r="199" customFormat="false" ht="15" hidden="false" customHeight="false" outlineLevel="0" collapsed="false">
      <c r="A199" s="30"/>
      <c r="B199" s="31"/>
      <c r="C199" s="31"/>
      <c r="D199" s="31"/>
      <c r="E199" s="31"/>
      <c r="F199" s="31"/>
      <c r="G199" s="30"/>
      <c r="H199" s="30"/>
    </row>
    <row r="200" customFormat="false" ht="15" hidden="false" customHeight="false" outlineLevel="0" collapsed="false">
      <c r="A200" s="30"/>
      <c r="B200" s="31"/>
      <c r="C200" s="31"/>
      <c r="D200" s="31"/>
      <c r="E200" s="31"/>
      <c r="F200" s="31"/>
      <c r="G200" s="30"/>
      <c r="H200" s="30"/>
    </row>
    <row r="201" customFormat="false" ht="15" hidden="false" customHeight="false" outlineLevel="0" collapsed="false">
      <c r="A201" s="30"/>
      <c r="B201" s="31"/>
      <c r="C201" s="31"/>
      <c r="D201" s="31"/>
      <c r="E201" s="31"/>
      <c r="F201" s="31"/>
      <c r="G201" s="30"/>
      <c r="H201" s="30"/>
    </row>
    <row r="202" customFormat="false" ht="15" hidden="false" customHeight="false" outlineLevel="0" collapsed="false">
      <c r="A202" s="30"/>
      <c r="B202" s="31"/>
      <c r="C202" s="31"/>
      <c r="D202" s="31"/>
      <c r="E202" s="31"/>
      <c r="F202" s="31"/>
      <c r="G202" s="30"/>
      <c r="H202" s="30"/>
    </row>
    <row r="203" customFormat="false" ht="15" hidden="false" customHeight="false" outlineLevel="0" collapsed="false">
      <c r="A203" s="30"/>
      <c r="B203" s="31"/>
      <c r="C203" s="31"/>
      <c r="D203" s="31"/>
      <c r="E203" s="31"/>
      <c r="F203" s="31"/>
      <c r="G203" s="30"/>
      <c r="H203" s="30"/>
    </row>
    <row r="204" customFormat="false" ht="15" hidden="false" customHeight="false" outlineLevel="0" collapsed="false">
      <c r="A204" s="30"/>
      <c r="B204" s="31"/>
      <c r="C204" s="31"/>
      <c r="D204" s="31"/>
      <c r="E204" s="31"/>
      <c r="F204" s="31"/>
      <c r="G204" s="30"/>
      <c r="H204" s="30"/>
    </row>
    <row r="205" customFormat="false" ht="15" hidden="false" customHeight="false" outlineLevel="0" collapsed="false">
      <c r="A205" s="30"/>
      <c r="B205" s="31"/>
      <c r="C205" s="31"/>
      <c r="D205" s="31"/>
      <c r="E205" s="31"/>
      <c r="F205" s="31"/>
      <c r="G205" s="30"/>
      <c r="H205" s="30"/>
    </row>
    <row r="206" customFormat="false" ht="15" hidden="false" customHeight="false" outlineLevel="0" collapsed="false">
      <c r="A206" s="30"/>
      <c r="B206" s="31"/>
      <c r="C206" s="31"/>
      <c r="D206" s="31"/>
      <c r="E206" s="31"/>
      <c r="F206" s="31"/>
      <c r="G206" s="30"/>
      <c r="H206" s="30"/>
    </row>
    <row r="207" customFormat="false" ht="15" hidden="false" customHeight="false" outlineLevel="0" collapsed="false">
      <c r="A207" s="30"/>
      <c r="B207" s="31"/>
      <c r="C207" s="31"/>
      <c r="D207" s="31"/>
      <c r="E207" s="31"/>
      <c r="F207" s="31"/>
      <c r="G207" s="30"/>
      <c r="H207" s="30"/>
    </row>
    <row r="208" customFormat="false" ht="15" hidden="false" customHeight="false" outlineLevel="0" collapsed="false">
      <c r="A208" s="30"/>
      <c r="B208" s="31"/>
      <c r="C208" s="31"/>
      <c r="D208" s="31"/>
      <c r="E208" s="31"/>
      <c r="F208" s="31"/>
      <c r="G208" s="30"/>
      <c r="H208" s="30"/>
    </row>
    <row r="209" customFormat="false" ht="15" hidden="false" customHeight="false" outlineLevel="0" collapsed="false">
      <c r="A209" s="30"/>
      <c r="B209" s="31"/>
      <c r="C209" s="31"/>
      <c r="D209" s="31"/>
      <c r="E209" s="31"/>
      <c r="F209" s="31"/>
      <c r="G209" s="30"/>
      <c r="H209" s="30"/>
    </row>
    <row r="210" customFormat="false" ht="15" hidden="false" customHeight="false" outlineLevel="0" collapsed="false">
      <c r="A210" s="30"/>
      <c r="B210" s="31"/>
      <c r="C210" s="31"/>
      <c r="D210" s="31"/>
      <c r="E210" s="31"/>
      <c r="F210" s="31"/>
      <c r="G210" s="30"/>
      <c r="H210" s="30"/>
    </row>
    <row r="211" customFormat="false" ht="15" hidden="false" customHeight="false" outlineLevel="0" collapsed="false">
      <c r="A211" s="30"/>
      <c r="B211" s="31"/>
      <c r="C211" s="31"/>
      <c r="D211" s="31"/>
      <c r="E211" s="31"/>
      <c r="F211" s="31"/>
      <c r="G211" s="30"/>
      <c r="H211" s="30"/>
    </row>
    <row r="212" customFormat="false" ht="15" hidden="false" customHeight="false" outlineLevel="0" collapsed="false">
      <c r="A212" s="30"/>
      <c r="B212" s="31"/>
      <c r="C212" s="31"/>
      <c r="D212" s="31"/>
      <c r="E212" s="31"/>
      <c r="F212" s="31"/>
      <c r="G212" s="30"/>
      <c r="H212" s="30"/>
    </row>
    <row r="213" customFormat="false" ht="15" hidden="false" customHeight="false" outlineLevel="0" collapsed="false">
      <c r="A213" s="30"/>
      <c r="B213" s="31"/>
      <c r="C213" s="31"/>
      <c r="D213" s="31"/>
      <c r="E213" s="31"/>
      <c r="F213" s="31"/>
      <c r="G213" s="30"/>
      <c r="H213" s="30"/>
    </row>
    <row r="214" customFormat="false" ht="15" hidden="false" customHeight="false" outlineLevel="0" collapsed="false">
      <c r="A214" s="30"/>
      <c r="B214" s="31"/>
      <c r="C214" s="31"/>
      <c r="D214" s="31"/>
      <c r="E214" s="31"/>
      <c r="F214" s="31"/>
      <c r="G214" s="30"/>
      <c r="H214" s="30"/>
    </row>
    <row r="215" customFormat="false" ht="15" hidden="false" customHeight="false" outlineLevel="0" collapsed="false">
      <c r="A215" s="30"/>
      <c r="B215" s="31"/>
      <c r="C215" s="31"/>
      <c r="D215" s="31"/>
      <c r="E215" s="31"/>
      <c r="F215" s="31"/>
      <c r="G215" s="30"/>
      <c r="H215" s="30"/>
    </row>
    <row r="216" customFormat="false" ht="15" hidden="false" customHeight="false" outlineLevel="0" collapsed="false">
      <c r="A216" s="30"/>
      <c r="B216" s="31"/>
      <c r="C216" s="31"/>
      <c r="D216" s="31"/>
      <c r="E216" s="31"/>
      <c r="F216" s="31"/>
      <c r="G216" s="30"/>
      <c r="H216" s="30"/>
    </row>
    <row r="217" customFormat="false" ht="15" hidden="false" customHeight="false" outlineLevel="0" collapsed="false">
      <c r="A217" s="30"/>
      <c r="B217" s="31"/>
      <c r="C217" s="31"/>
      <c r="D217" s="31"/>
      <c r="E217" s="31"/>
      <c r="F217" s="31"/>
      <c r="G217" s="30"/>
      <c r="H217" s="30"/>
    </row>
    <row r="218" customFormat="false" ht="15" hidden="false" customHeight="false" outlineLevel="0" collapsed="false">
      <c r="A218" s="30"/>
      <c r="B218" s="31"/>
      <c r="C218" s="31"/>
      <c r="D218" s="31"/>
      <c r="E218" s="31"/>
      <c r="F218" s="31"/>
      <c r="G218" s="30"/>
      <c r="H218" s="30"/>
    </row>
    <row r="219" customFormat="false" ht="15" hidden="false" customHeight="false" outlineLevel="0" collapsed="false">
      <c r="A219" s="30"/>
      <c r="B219" s="31"/>
      <c r="C219" s="31"/>
      <c r="D219" s="31"/>
      <c r="E219" s="31"/>
      <c r="F219" s="31"/>
      <c r="G219" s="30"/>
      <c r="H219" s="30"/>
    </row>
    <row r="220" customFormat="false" ht="15" hidden="false" customHeight="false" outlineLevel="0" collapsed="false">
      <c r="A220" s="30"/>
      <c r="B220" s="31"/>
      <c r="C220" s="31"/>
      <c r="D220" s="31"/>
      <c r="E220" s="31"/>
      <c r="F220" s="31"/>
      <c r="G220" s="30"/>
      <c r="H220" s="30"/>
    </row>
    <row r="221" customFormat="false" ht="15" hidden="false" customHeight="false" outlineLevel="0" collapsed="false">
      <c r="A221" s="30"/>
      <c r="B221" s="31"/>
      <c r="C221" s="31"/>
      <c r="D221" s="31"/>
      <c r="E221" s="31"/>
      <c r="F221" s="31"/>
      <c r="G221" s="30"/>
      <c r="H221" s="30"/>
    </row>
    <row r="222" customFormat="false" ht="15" hidden="false" customHeight="false" outlineLevel="0" collapsed="false">
      <c r="A222" s="30"/>
      <c r="B222" s="31"/>
      <c r="C222" s="31"/>
      <c r="D222" s="31"/>
      <c r="E222" s="31"/>
      <c r="F222" s="31"/>
      <c r="G222" s="30"/>
      <c r="H222" s="30"/>
    </row>
    <row r="223" customFormat="false" ht="15" hidden="false" customHeight="false" outlineLevel="0" collapsed="false">
      <c r="A223" s="30"/>
      <c r="B223" s="31"/>
      <c r="C223" s="31"/>
      <c r="D223" s="31"/>
      <c r="E223" s="31"/>
      <c r="F223" s="31"/>
      <c r="G223" s="30"/>
      <c r="H223" s="30"/>
    </row>
    <row r="224" customFormat="false" ht="15" hidden="false" customHeight="false" outlineLevel="0" collapsed="false">
      <c r="A224" s="30"/>
      <c r="B224" s="31"/>
      <c r="C224" s="31"/>
      <c r="D224" s="31"/>
      <c r="E224" s="31"/>
      <c r="F224" s="31"/>
      <c r="G224" s="30"/>
      <c r="H224" s="30"/>
    </row>
    <row r="225" customFormat="false" ht="15" hidden="false" customHeight="false" outlineLevel="0" collapsed="false">
      <c r="A225" s="30"/>
      <c r="B225" s="31"/>
      <c r="C225" s="31"/>
      <c r="D225" s="31"/>
      <c r="E225" s="31"/>
      <c r="F225" s="31"/>
      <c r="G225" s="30"/>
      <c r="H225" s="30"/>
    </row>
    <row r="226" customFormat="false" ht="15" hidden="false" customHeight="false" outlineLevel="0" collapsed="false">
      <c r="A226" s="30"/>
      <c r="B226" s="31"/>
      <c r="C226" s="31"/>
      <c r="D226" s="31"/>
      <c r="E226" s="31"/>
      <c r="F226" s="31"/>
      <c r="G226" s="30"/>
      <c r="H226" s="30"/>
    </row>
    <row r="227" customFormat="false" ht="15" hidden="false" customHeight="false" outlineLevel="0" collapsed="false">
      <c r="A227" s="30"/>
      <c r="B227" s="31"/>
      <c r="C227" s="31"/>
      <c r="D227" s="31"/>
      <c r="E227" s="31"/>
      <c r="F227" s="31"/>
      <c r="G227" s="30"/>
      <c r="H227" s="30"/>
    </row>
    <row r="228" customFormat="false" ht="15" hidden="false" customHeight="false" outlineLevel="0" collapsed="false">
      <c r="A228" s="30"/>
      <c r="B228" s="31"/>
      <c r="C228" s="31"/>
      <c r="D228" s="31"/>
      <c r="E228" s="31"/>
      <c r="F228" s="31"/>
      <c r="G228" s="30"/>
      <c r="H228" s="30"/>
    </row>
    <row r="229" customFormat="false" ht="15" hidden="false" customHeight="false" outlineLevel="0" collapsed="false">
      <c r="A229" s="30"/>
      <c r="B229" s="31"/>
      <c r="C229" s="31"/>
      <c r="D229" s="31"/>
      <c r="E229" s="31"/>
      <c r="F229" s="31"/>
      <c r="G229" s="30"/>
      <c r="H229" s="30"/>
    </row>
    <row r="230" customFormat="false" ht="15" hidden="false" customHeight="false" outlineLevel="0" collapsed="false">
      <c r="A230" s="30"/>
      <c r="B230" s="31"/>
      <c r="C230" s="31"/>
      <c r="D230" s="31"/>
      <c r="E230" s="31"/>
      <c r="F230" s="31"/>
      <c r="G230" s="30"/>
      <c r="H230" s="30"/>
    </row>
    <row r="231" customFormat="false" ht="15" hidden="false" customHeight="false" outlineLevel="0" collapsed="false">
      <c r="A231" s="30"/>
      <c r="B231" s="31"/>
      <c r="C231" s="31"/>
      <c r="D231" s="31"/>
      <c r="E231" s="31"/>
      <c r="F231" s="31"/>
      <c r="G231" s="30"/>
      <c r="H231" s="30"/>
    </row>
    <row r="232" customFormat="false" ht="15" hidden="false" customHeight="false" outlineLevel="0" collapsed="false">
      <c r="A232" s="30"/>
      <c r="B232" s="31"/>
      <c r="C232" s="31"/>
      <c r="D232" s="31"/>
      <c r="E232" s="31"/>
      <c r="F232" s="31"/>
      <c r="G232" s="30"/>
      <c r="H232" s="30"/>
    </row>
    <row r="233" customFormat="false" ht="15" hidden="false" customHeight="false" outlineLevel="0" collapsed="false">
      <c r="A233" s="30"/>
      <c r="B233" s="31"/>
      <c r="C233" s="31"/>
      <c r="D233" s="31"/>
      <c r="E233" s="31"/>
      <c r="F233" s="31"/>
      <c r="G233" s="30"/>
      <c r="H233" s="30"/>
    </row>
    <row r="234" customFormat="false" ht="15" hidden="false" customHeight="false" outlineLevel="0" collapsed="false">
      <c r="A234" s="30"/>
      <c r="B234" s="31"/>
      <c r="C234" s="31"/>
      <c r="D234" s="31"/>
      <c r="E234" s="31"/>
      <c r="F234" s="31"/>
      <c r="G234" s="30"/>
      <c r="H234" s="30"/>
    </row>
    <row r="235" customFormat="false" ht="15" hidden="false" customHeight="false" outlineLevel="0" collapsed="false">
      <c r="A235" s="30"/>
      <c r="B235" s="31"/>
      <c r="C235" s="31"/>
      <c r="D235" s="31"/>
      <c r="E235" s="31"/>
      <c r="F235" s="31"/>
      <c r="G235" s="30"/>
      <c r="H235" s="30"/>
    </row>
    <row r="236" customFormat="false" ht="15" hidden="false" customHeight="false" outlineLevel="0" collapsed="false">
      <c r="A236" s="30"/>
      <c r="B236" s="31"/>
      <c r="C236" s="31"/>
      <c r="D236" s="31"/>
      <c r="E236" s="31"/>
      <c r="F236" s="31"/>
      <c r="G236" s="30"/>
      <c r="H236" s="30"/>
    </row>
    <row r="237" customFormat="false" ht="15" hidden="false" customHeight="false" outlineLevel="0" collapsed="false">
      <c r="A237" s="30"/>
      <c r="B237" s="31"/>
      <c r="C237" s="31"/>
      <c r="D237" s="31"/>
      <c r="E237" s="31"/>
      <c r="F237" s="31"/>
      <c r="G237" s="30"/>
      <c r="H237" s="30"/>
    </row>
    <row r="238" customFormat="false" ht="15" hidden="false" customHeight="false" outlineLevel="0" collapsed="false">
      <c r="A238" s="30"/>
      <c r="B238" s="31"/>
      <c r="C238" s="31"/>
      <c r="D238" s="31"/>
      <c r="E238" s="31"/>
      <c r="F238" s="31"/>
      <c r="G238" s="30"/>
      <c r="H238" s="30"/>
    </row>
    <row r="239" customFormat="false" ht="15" hidden="false" customHeight="false" outlineLevel="0" collapsed="false">
      <c r="A239" s="30"/>
      <c r="B239" s="31"/>
      <c r="C239" s="31"/>
      <c r="D239" s="31"/>
      <c r="E239" s="31"/>
      <c r="F239" s="31"/>
      <c r="G239" s="30"/>
      <c r="H239" s="30"/>
    </row>
    <row r="240" customFormat="false" ht="15" hidden="false" customHeight="false" outlineLevel="0" collapsed="false">
      <c r="A240" s="30"/>
      <c r="B240" s="31"/>
      <c r="C240" s="31"/>
      <c r="D240" s="31"/>
      <c r="E240" s="31"/>
      <c r="F240" s="31"/>
      <c r="G240" s="30"/>
      <c r="H240" s="30"/>
    </row>
    <row r="241" customFormat="false" ht="15" hidden="false" customHeight="false" outlineLevel="0" collapsed="false">
      <c r="A241" s="30"/>
      <c r="B241" s="31"/>
      <c r="C241" s="31"/>
      <c r="D241" s="31"/>
      <c r="E241" s="31"/>
      <c r="F241" s="31"/>
      <c r="G241" s="30"/>
      <c r="H241" s="30"/>
    </row>
    <row r="242" customFormat="false" ht="15" hidden="false" customHeight="false" outlineLevel="0" collapsed="false">
      <c r="A242" s="30"/>
      <c r="B242" s="31"/>
      <c r="C242" s="31"/>
      <c r="D242" s="31"/>
      <c r="E242" s="31"/>
      <c r="F242" s="31"/>
      <c r="G242" s="30"/>
      <c r="H242" s="30"/>
    </row>
    <row r="243" customFormat="false" ht="15" hidden="false" customHeight="false" outlineLevel="0" collapsed="false">
      <c r="A243" s="30"/>
      <c r="B243" s="31"/>
      <c r="C243" s="31"/>
      <c r="D243" s="31"/>
      <c r="E243" s="31"/>
      <c r="F243" s="31"/>
      <c r="G243" s="30"/>
      <c r="H243" s="30"/>
    </row>
    <row r="244" customFormat="false" ht="15" hidden="false" customHeight="false" outlineLevel="0" collapsed="false">
      <c r="A244" s="30"/>
      <c r="B244" s="31"/>
      <c r="C244" s="31"/>
      <c r="D244" s="31"/>
      <c r="E244" s="31"/>
      <c r="F244" s="31"/>
      <c r="G244" s="30"/>
      <c r="H244" s="30"/>
    </row>
    <row r="245" customFormat="false" ht="15" hidden="false" customHeight="false" outlineLevel="0" collapsed="false">
      <c r="A245" s="30"/>
      <c r="B245" s="31"/>
      <c r="C245" s="31"/>
      <c r="D245" s="31"/>
      <c r="E245" s="31"/>
      <c r="F245" s="31"/>
      <c r="G245" s="30"/>
      <c r="H245" s="30"/>
    </row>
    <row r="246" customFormat="false" ht="15" hidden="false" customHeight="false" outlineLevel="0" collapsed="false">
      <c r="A246" s="30"/>
      <c r="B246" s="31"/>
      <c r="C246" s="31"/>
      <c r="D246" s="31"/>
      <c r="E246" s="31"/>
      <c r="F246" s="31"/>
      <c r="G246" s="30"/>
      <c r="H246" s="30"/>
    </row>
    <row r="247" customFormat="false" ht="15" hidden="false" customHeight="false" outlineLevel="0" collapsed="false">
      <c r="A247" s="30"/>
      <c r="B247" s="31"/>
      <c r="C247" s="31"/>
      <c r="D247" s="31"/>
      <c r="E247" s="31"/>
      <c r="F247" s="31"/>
      <c r="G247" s="30"/>
      <c r="H247" s="30"/>
    </row>
    <row r="248" customFormat="false" ht="15" hidden="false" customHeight="false" outlineLevel="0" collapsed="false">
      <c r="A248" s="30"/>
      <c r="B248" s="31"/>
      <c r="C248" s="31"/>
      <c r="D248" s="31"/>
      <c r="E248" s="31"/>
      <c r="F248" s="31"/>
      <c r="G248" s="30"/>
      <c r="H248" s="30"/>
    </row>
    <row r="249" customFormat="false" ht="15" hidden="false" customHeight="false" outlineLevel="0" collapsed="false">
      <c r="A249" s="30"/>
      <c r="B249" s="31"/>
      <c r="C249" s="31"/>
      <c r="D249" s="31"/>
      <c r="E249" s="31"/>
      <c r="F249" s="31"/>
      <c r="G249" s="30"/>
      <c r="H249" s="30"/>
    </row>
    <row r="250" customFormat="false" ht="15" hidden="false" customHeight="false" outlineLevel="0" collapsed="false">
      <c r="A250" s="30"/>
      <c r="B250" s="31"/>
      <c r="C250" s="31"/>
      <c r="D250" s="31"/>
      <c r="E250" s="31"/>
      <c r="F250" s="31"/>
      <c r="G250" s="30"/>
      <c r="H250" s="30"/>
    </row>
    <row r="251" customFormat="false" ht="15" hidden="false" customHeight="false" outlineLevel="0" collapsed="false">
      <c r="A251" s="30"/>
      <c r="B251" s="31"/>
      <c r="C251" s="31"/>
      <c r="D251" s="31"/>
      <c r="E251" s="31"/>
      <c r="F251" s="31"/>
      <c r="G251" s="30"/>
      <c r="H251" s="30"/>
    </row>
    <row r="252" customFormat="false" ht="15" hidden="false" customHeight="false" outlineLevel="0" collapsed="false">
      <c r="A252" s="30"/>
      <c r="B252" s="31"/>
      <c r="C252" s="31"/>
      <c r="D252" s="31"/>
      <c r="E252" s="31"/>
      <c r="F252" s="31"/>
      <c r="G252" s="30"/>
      <c r="H252" s="30"/>
    </row>
    <row r="253" customFormat="false" ht="15" hidden="false" customHeight="false" outlineLevel="0" collapsed="false">
      <c r="A253" s="30"/>
      <c r="B253" s="31"/>
      <c r="C253" s="31"/>
      <c r="D253" s="31"/>
      <c r="E253" s="31"/>
      <c r="F253" s="31"/>
      <c r="G253" s="30"/>
      <c r="H253" s="30"/>
    </row>
    <row r="254" customFormat="false" ht="15" hidden="false" customHeight="false" outlineLevel="0" collapsed="false">
      <c r="A254" s="30"/>
      <c r="B254" s="31"/>
      <c r="C254" s="31"/>
      <c r="D254" s="31"/>
      <c r="E254" s="31"/>
      <c r="F254" s="31"/>
      <c r="G254" s="30"/>
      <c r="H254" s="30"/>
    </row>
    <row r="255" customFormat="false" ht="15" hidden="false" customHeight="false" outlineLevel="0" collapsed="false">
      <c r="A255" s="30"/>
      <c r="B255" s="31"/>
      <c r="C255" s="31"/>
      <c r="D255" s="31"/>
      <c r="E255" s="31"/>
      <c r="F255" s="31"/>
      <c r="G255" s="30"/>
      <c r="H255" s="30"/>
    </row>
    <row r="256" customFormat="false" ht="15" hidden="false" customHeight="false" outlineLevel="0" collapsed="false">
      <c r="A256" s="30"/>
      <c r="B256" s="31"/>
      <c r="C256" s="31"/>
      <c r="D256" s="31"/>
      <c r="E256" s="31"/>
      <c r="F256" s="31"/>
      <c r="G256" s="30"/>
      <c r="H256" s="30"/>
    </row>
    <row r="257" customFormat="false" ht="15" hidden="false" customHeight="false" outlineLevel="0" collapsed="false">
      <c r="A257" s="30"/>
      <c r="B257" s="31"/>
      <c r="C257" s="31"/>
      <c r="D257" s="31"/>
      <c r="E257" s="31"/>
      <c r="F257" s="31"/>
      <c r="G257" s="30"/>
      <c r="H257" s="30"/>
    </row>
    <row r="258" customFormat="false" ht="15" hidden="false" customHeight="false" outlineLevel="0" collapsed="false">
      <c r="A258" s="30"/>
      <c r="B258" s="31"/>
      <c r="C258" s="31"/>
      <c r="D258" s="31"/>
      <c r="E258" s="31"/>
      <c r="F258" s="31"/>
      <c r="G258" s="30"/>
      <c r="H258" s="30"/>
    </row>
    <row r="259" customFormat="false" ht="15" hidden="false" customHeight="false" outlineLevel="0" collapsed="false">
      <c r="A259" s="30"/>
      <c r="B259" s="31"/>
      <c r="C259" s="31"/>
      <c r="D259" s="31"/>
      <c r="E259" s="31"/>
      <c r="F259" s="31"/>
      <c r="G259" s="30"/>
      <c r="H259" s="30"/>
    </row>
    <row r="260" customFormat="false" ht="15" hidden="false" customHeight="false" outlineLevel="0" collapsed="false">
      <c r="A260" s="30"/>
      <c r="B260" s="31"/>
      <c r="C260" s="31"/>
      <c r="D260" s="31"/>
      <c r="E260" s="31"/>
      <c r="F260" s="31"/>
      <c r="G260" s="30"/>
      <c r="H260" s="30"/>
    </row>
    <row r="261" customFormat="false" ht="15" hidden="false" customHeight="false" outlineLevel="0" collapsed="false">
      <c r="A261" s="30"/>
      <c r="B261" s="31"/>
      <c r="C261" s="31"/>
      <c r="D261" s="31"/>
      <c r="E261" s="31"/>
      <c r="F261" s="31"/>
      <c r="G261" s="30"/>
      <c r="H261" s="30"/>
    </row>
    <row r="262" customFormat="false" ht="15" hidden="false" customHeight="false" outlineLevel="0" collapsed="false">
      <c r="A262" s="30"/>
      <c r="B262" s="31"/>
      <c r="C262" s="31"/>
      <c r="D262" s="31"/>
      <c r="E262" s="31"/>
      <c r="F262" s="31"/>
      <c r="G262" s="30"/>
      <c r="H262" s="30"/>
    </row>
    <row r="263" customFormat="false" ht="15" hidden="false" customHeight="false" outlineLevel="0" collapsed="false">
      <c r="A263" s="30"/>
      <c r="B263" s="31"/>
      <c r="C263" s="31"/>
      <c r="D263" s="31"/>
      <c r="E263" s="31"/>
      <c r="F263" s="31"/>
      <c r="G263" s="30"/>
      <c r="H263" s="30"/>
    </row>
    <row r="264" customFormat="false" ht="15" hidden="false" customHeight="false" outlineLevel="0" collapsed="false">
      <c r="A264" s="30"/>
      <c r="B264" s="31"/>
      <c r="C264" s="31"/>
      <c r="D264" s="31"/>
      <c r="E264" s="31"/>
      <c r="F264" s="31"/>
      <c r="G264" s="30"/>
      <c r="H264" s="30"/>
    </row>
    <row r="265" customFormat="false" ht="15" hidden="false" customHeight="false" outlineLevel="0" collapsed="false">
      <c r="A265" s="30"/>
      <c r="B265" s="31"/>
      <c r="C265" s="31"/>
      <c r="D265" s="31"/>
      <c r="E265" s="31"/>
      <c r="F265" s="31"/>
      <c r="G265" s="30"/>
      <c r="H265" s="30"/>
    </row>
    <row r="266" customFormat="false" ht="15" hidden="false" customHeight="false" outlineLevel="0" collapsed="false">
      <c r="A266" s="30"/>
      <c r="B266" s="31"/>
      <c r="C266" s="31"/>
      <c r="D266" s="31"/>
      <c r="E266" s="31"/>
      <c r="F266" s="31"/>
      <c r="G266" s="30"/>
      <c r="H266" s="30"/>
    </row>
    <row r="267" customFormat="false" ht="15" hidden="false" customHeight="false" outlineLevel="0" collapsed="false">
      <c r="A267" s="30"/>
      <c r="B267" s="31"/>
      <c r="C267" s="31"/>
      <c r="D267" s="31"/>
      <c r="E267" s="31"/>
      <c r="F267" s="31"/>
      <c r="G267" s="30"/>
      <c r="H267" s="30"/>
    </row>
    <row r="268" customFormat="false" ht="15" hidden="false" customHeight="false" outlineLevel="0" collapsed="false">
      <c r="A268" s="30"/>
      <c r="B268" s="31"/>
      <c r="C268" s="31"/>
      <c r="D268" s="31"/>
      <c r="E268" s="31"/>
      <c r="F268" s="31"/>
      <c r="G268" s="30"/>
      <c r="H268" s="30"/>
    </row>
    <row r="269" customFormat="false" ht="15" hidden="false" customHeight="false" outlineLevel="0" collapsed="false">
      <c r="A269" s="30"/>
      <c r="B269" s="31"/>
      <c r="C269" s="31"/>
      <c r="D269" s="31"/>
      <c r="E269" s="31"/>
      <c r="F269" s="31"/>
      <c r="G269" s="30"/>
      <c r="H269" s="30"/>
    </row>
    <row r="270" customFormat="false" ht="15" hidden="false" customHeight="false" outlineLevel="0" collapsed="false">
      <c r="A270" s="30"/>
      <c r="B270" s="31"/>
      <c r="C270" s="31"/>
      <c r="D270" s="31"/>
      <c r="E270" s="31"/>
      <c r="F270" s="31"/>
      <c r="G270" s="30"/>
      <c r="H270" s="30"/>
    </row>
    <row r="271" customFormat="false" ht="15" hidden="false" customHeight="false" outlineLevel="0" collapsed="false">
      <c r="A271" s="30"/>
      <c r="B271" s="31"/>
      <c r="C271" s="31"/>
      <c r="D271" s="31"/>
      <c r="E271" s="31"/>
      <c r="F271" s="31"/>
      <c r="G271" s="30"/>
      <c r="H271" s="30"/>
    </row>
    <row r="272" customFormat="false" ht="15" hidden="false" customHeight="false" outlineLevel="0" collapsed="false">
      <c r="A272" s="30"/>
      <c r="B272" s="31"/>
      <c r="C272" s="31"/>
      <c r="D272" s="31"/>
      <c r="E272" s="31"/>
      <c r="F272" s="31"/>
      <c r="G272" s="30"/>
      <c r="H272" s="30"/>
    </row>
    <row r="273" customFormat="false" ht="15" hidden="false" customHeight="false" outlineLevel="0" collapsed="false">
      <c r="A273" s="30"/>
      <c r="B273" s="31"/>
      <c r="C273" s="31"/>
      <c r="D273" s="31"/>
      <c r="E273" s="31"/>
      <c r="F273" s="31"/>
      <c r="G273" s="30"/>
      <c r="H273" s="30"/>
    </row>
    <row r="274" customFormat="false" ht="15" hidden="false" customHeight="false" outlineLevel="0" collapsed="false">
      <c r="A274" s="30"/>
      <c r="B274" s="31"/>
      <c r="C274" s="31"/>
      <c r="D274" s="31"/>
      <c r="E274" s="31"/>
      <c r="F274" s="31"/>
      <c r="G274" s="30"/>
      <c r="H274" s="30"/>
    </row>
    <row r="275" customFormat="false" ht="15" hidden="false" customHeight="false" outlineLevel="0" collapsed="false">
      <c r="A275" s="30"/>
      <c r="B275" s="31"/>
      <c r="C275" s="31"/>
      <c r="D275" s="31"/>
      <c r="E275" s="31"/>
      <c r="F275" s="31"/>
      <c r="G275" s="30"/>
      <c r="H275" s="30"/>
    </row>
    <row r="276" customFormat="false" ht="15" hidden="false" customHeight="false" outlineLevel="0" collapsed="false">
      <c r="A276" s="30"/>
      <c r="B276" s="31"/>
      <c r="C276" s="31"/>
      <c r="D276" s="31"/>
      <c r="E276" s="31"/>
      <c r="F276" s="31"/>
      <c r="G276" s="30"/>
      <c r="H276" s="30"/>
    </row>
    <row r="277" customFormat="false" ht="15" hidden="false" customHeight="false" outlineLevel="0" collapsed="false">
      <c r="A277" s="30"/>
      <c r="B277" s="31"/>
      <c r="C277" s="31"/>
      <c r="D277" s="31"/>
      <c r="E277" s="31"/>
      <c r="F277" s="31"/>
      <c r="G277" s="30"/>
      <c r="H277" s="30"/>
    </row>
    <row r="278" customFormat="false" ht="15" hidden="false" customHeight="false" outlineLevel="0" collapsed="false">
      <c r="A278" s="30"/>
      <c r="B278" s="31"/>
      <c r="C278" s="31"/>
      <c r="D278" s="31"/>
      <c r="E278" s="31"/>
      <c r="F278" s="31"/>
      <c r="G278" s="30"/>
      <c r="H278" s="30"/>
    </row>
    <row r="279" customFormat="false" ht="15" hidden="false" customHeight="false" outlineLevel="0" collapsed="false">
      <c r="A279" s="30"/>
      <c r="B279" s="31"/>
      <c r="C279" s="31"/>
      <c r="D279" s="31"/>
      <c r="E279" s="31"/>
      <c r="F279" s="31"/>
      <c r="G279" s="30"/>
      <c r="H279" s="30"/>
    </row>
    <row r="280" customFormat="false" ht="15" hidden="false" customHeight="false" outlineLevel="0" collapsed="false">
      <c r="A280" s="30"/>
      <c r="B280" s="31"/>
      <c r="C280" s="31"/>
      <c r="D280" s="31"/>
      <c r="E280" s="31"/>
      <c r="F280" s="31"/>
      <c r="G280" s="30"/>
      <c r="H280" s="30"/>
    </row>
    <row r="281" customFormat="false" ht="15" hidden="false" customHeight="false" outlineLevel="0" collapsed="false">
      <c r="A281" s="30"/>
      <c r="B281" s="31"/>
      <c r="C281" s="31"/>
      <c r="D281" s="31"/>
      <c r="E281" s="31"/>
      <c r="F281" s="31"/>
      <c r="G281" s="30"/>
      <c r="H281" s="30"/>
    </row>
    <row r="282" customFormat="false" ht="15" hidden="false" customHeight="false" outlineLevel="0" collapsed="false">
      <c r="A282" s="30"/>
      <c r="B282" s="31"/>
      <c r="C282" s="31"/>
      <c r="D282" s="31"/>
      <c r="E282" s="31"/>
      <c r="F282" s="31"/>
      <c r="G282" s="30"/>
      <c r="H282" s="30"/>
    </row>
    <row r="283" customFormat="false" ht="15" hidden="false" customHeight="false" outlineLevel="0" collapsed="false">
      <c r="A283" s="30"/>
      <c r="B283" s="31"/>
      <c r="C283" s="31"/>
      <c r="D283" s="31"/>
      <c r="E283" s="31"/>
      <c r="F283" s="31"/>
      <c r="G283" s="30"/>
      <c r="H283" s="30"/>
    </row>
    <row r="284" customFormat="false" ht="15" hidden="false" customHeight="false" outlineLevel="0" collapsed="false">
      <c r="A284" s="30"/>
      <c r="B284" s="31"/>
      <c r="C284" s="31"/>
      <c r="D284" s="31"/>
      <c r="E284" s="31"/>
      <c r="F284" s="31"/>
      <c r="G284" s="30"/>
      <c r="H284" s="30"/>
    </row>
    <row r="285" customFormat="false" ht="15" hidden="false" customHeight="false" outlineLevel="0" collapsed="false">
      <c r="A285" s="30"/>
      <c r="B285" s="31"/>
      <c r="C285" s="31"/>
      <c r="D285" s="31"/>
      <c r="E285" s="31"/>
      <c r="F285" s="31"/>
      <c r="G285" s="30"/>
      <c r="H285" s="30"/>
    </row>
    <row r="286" customFormat="false" ht="15" hidden="false" customHeight="false" outlineLevel="0" collapsed="false">
      <c r="A286" s="30"/>
      <c r="B286" s="31"/>
      <c r="C286" s="31"/>
      <c r="D286" s="31"/>
      <c r="E286" s="31"/>
      <c r="F286" s="31"/>
      <c r="G286" s="30"/>
      <c r="H286" s="30"/>
    </row>
    <row r="287" customFormat="false" ht="15" hidden="false" customHeight="false" outlineLevel="0" collapsed="false">
      <c r="A287" s="30"/>
      <c r="B287" s="31"/>
      <c r="C287" s="31"/>
      <c r="D287" s="31"/>
      <c r="E287" s="31"/>
      <c r="F287" s="31"/>
      <c r="G287" s="30"/>
      <c r="H287" s="30"/>
    </row>
    <row r="288" customFormat="false" ht="15" hidden="false" customHeight="false" outlineLevel="0" collapsed="false">
      <c r="A288" s="30"/>
      <c r="B288" s="31"/>
      <c r="C288" s="31"/>
      <c r="D288" s="31"/>
      <c r="E288" s="31"/>
      <c r="F288" s="31"/>
      <c r="G288" s="30"/>
      <c r="H288" s="30"/>
    </row>
    <row r="289" customFormat="false" ht="15" hidden="false" customHeight="false" outlineLevel="0" collapsed="false">
      <c r="A289" s="30"/>
      <c r="B289" s="31"/>
      <c r="C289" s="31"/>
      <c r="D289" s="31"/>
      <c r="E289" s="31"/>
      <c r="F289" s="31"/>
      <c r="G289" s="30"/>
      <c r="H289" s="30"/>
    </row>
    <row r="290" customFormat="false" ht="15" hidden="false" customHeight="false" outlineLevel="0" collapsed="false">
      <c r="A290" s="30"/>
      <c r="B290" s="31"/>
      <c r="C290" s="31"/>
      <c r="D290" s="31"/>
      <c r="E290" s="31"/>
      <c r="F290" s="31"/>
      <c r="G290" s="30"/>
      <c r="H290" s="30"/>
    </row>
    <row r="291" customFormat="false" ht="15" hidden="false" customHeight="false" outlineLevel="0" collapsed="false">
      <c r="A291" s="30"/>
      <c r="B291" s="31"/>
      <c r="C291" s="31"/>
      <c r="D291" s="31"/>
      <c r="E291" s="31"/>
      <c r="F291" s="31"/>
      <c r="G291" s="30"/>
      <c r="H291" s="30"/>
    </row>
    <row r="292" customFormat="false" ht="15" hidden="false" customHeight="false" outlineLevel="0" collapsed="false">
      <c r="A292" s="30"/>
      <c r="B292" s="31"/>
      <c r="C292" s="31"/>
      <c r="D292" s="31"/>
      <c r="E292" s="31"/>
      <c r="F292" s="31"/>
      <c r="G292" s="30"/>
      <c r="H292" s="30"/>
    </row>
    <row r="293" customFormat="false" ht="15" hidden="false" customHeight="false" outlineLevel="0" collapsed="false">
      <c r="A293" s="30"/>
      <c r="B293" s="31"/>
      <c r="C293" s="31"/>
      <c r="D293" s="31"/>
      <c r="E293" s="31"/>
      <c r="F293" s="31"/>
      <c r="G293" s="30"/>
      <c r="H293" s="30"/>
    </row>
    <row r="294" customFormat="false" ht="15" hidden="false" customHeight="false" outlineLevel="0" collapsed="false">
      <c r="A294" s="30"/>
      <c r="B294" s="31"/>
      <c r="C294" s="31"/>
      <c r="D294" s="31"/>
      <c r="E294" s="31"/>
      <c r="F294" s="31"/>
      <c r="G294" s="30"/>
      <c r="H294" s="30"/>
    </row>
    <row r="295" customFormat="false" ht="15" hidden="false" customHeight="false" outlineLevel="0" collapsed="false">
      <c r="A295" s="30"/>
      <c r="B295" s="31"/>
      <c r="C295" s="31"/>
      <c r="D295" s="31"/>
      <c r="E295" s="31"/>
      <c r="F295" s="31"/>
      <c r="G295" s="30"/>
      <c r="H295" s="30"/>
    </row>
    <row r="296" customFormat="false" ht="15" hidden="false" customHeight="false" outlineLevel="0" collapsed="false">
      <c r="A296" s="30"/>
      <c r="B296" s="31"/>
      <c r="C296" s="31"/>
      <c r="D296" s="31"/>
      <c r="E296" s="31"/>
      <c r="F296" s="31"/>
      <c r="G296" s="30"/>
      <c r="H296" s="30"/>
    </row>
    <row r="297" customFormat="false" ht="15" hidden="false" customHeight="false" outlineLevel="0" collapsed="false">
      <c r="A297" s="30"/>
      <c r="B297" s="31"/>
      <c r="C297" s="31"/>
      <c r="D297" s="31"/>
      <c r="E297" s="31"/>
      <c r="F297" s="31"/>
      <c r="G297" s="30"/>
      <c r="H297" s="30"/>
    </row>
    <row r="298" customFormat="false" ht="15" hidden="false" customHeight="false" outlineLevel="0" collapsed="false">
      <c r="A298" s="30"/>
      <c r="B298" s="31"/>
      <c r="C298" s="31"/>
      <c r="D298" s="31"/>
      <c r="E298" s="31"/>
      <c r="F298" s="31"/>
      <c r="G298" s="30"/>
      <c r="H298" s="30"/>
    </row>
    <row r="299" customFormat="false" ht="15" hidden="false" customHeight="false" outlineLevel="0" collapsed="false">
      <c r="A299" s="30"/>
      <c r="B299" s="31"/>
      <c r="C299" s="31"/>
      <c r="D299" s="31"/>
      <c r="E299" s="31"/>
      <c r="F299" s="31"/>
      <c r="G299" s="30"/>
      <c r="H299" s="30"/>
    </row>
    <row r="300" customFormat="false" ht="15" hidden="false" customHeight="false" outlineLevel="0" collapsed="false">
      <c r="A300" s="30"/>
      <c r="B300" s="31"/>
      <c r="C300" s="31"/>
      <c r="D300" s="31"/>
      <c r="E300" s="31"/>
      <c r="F300" s="31"/>
      <c r="G300" s="30"/>
      <c r="H300" s="30"/>
    </row>
  </sheetData>
  <dataValidations count="2">
    <dataValidation allowBlank="true" errorStyle="stop" operator="between" showDropDown="false" showErrorMessage="false" showInputMessage="false" sqref="E6:E300" type="list">
      <formula1>"Concepto,Fórmula,Lectura,Calculadora,Tiempo,Descuido"</formula1>
      <formula2>0</formula2>
    </dataValidation>
    <dataValidation allowBlank="true" errorStyle="stop" operator="between" showDropDown="false" showErrorMessage="false" showInputMessage="false" sqref="B6:B300" type="list">
      <formula1>"Ética,Quant,Economía,FSA,Corporate Issuers,Equity,Renta Fija,Derivados,Alternativos,Portafolio"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3" customFormat="false" ht="15" hidden="false" customHeight="false" outlineLevel="0" collapsed="false">
      <c r="A3" s="3" t="s">
        <v>171</v>
      </c>
      <c r="B3" s="4" t="n">
        <f aca="false">Resumen!B4+7*(Resumen!B7-1)</f>
        <v>46321</v>
      </c>
      <c r="C3" s="2" t="s">
        <v>172</v>
      </c>
    </row>
    <row r="5" customFormat="false" ht="35.05" hidden="false" customHeight="false" outlineLevel="0" collapsed="false">
      <c r="A5" s="15" t="s">
        <v>30</v>
      </c>
      <c r="B5" s="15" t="s">
        <v>151</v>
      </c>
      <c r="C5" s="15" t="s">
        <v>31</v>
      </c>
      <c r="D5" s="15" t="s">
        <v>173</v>
      </c>
      <c r="E5" s="15" t="s">
        <v>174</v>
      </c>
      <c r="F5" s="15" t="s">
        <v>175</v>
      </c>
      <c r="G5" s="15" t="s">
        <v>176</v>
      </c>
      <c r="H5" s="15" t="s">
        <v>177</v>
      </c>
      <c r="I5" s="15" t="s">
        <v>178</v>
      </c>
    </row>
    <row r="6" customFormat="false" ht="15" hidden="false" customHeight="false" outlineLevel="0" collapsed="false">
      <c r="A6" s="16" t="s">
        <v>36</v>
      </c>
      <c r="B6" s="35" t="n">
        <f aca="false">$B$3+0</f>
        <v>46321</v>
      </c>
      <c r="C6" s="16" t="s">
        <v>41</v>
      </c>
      <c r="D6" s="36" t="s">
        <v>43</v>
      </c>
      <c r="E6" s="36" t="n">
        <v>1</v>
      </c>
      <c r="F6" s="36" t="n">
        <v>0</v>
      </c>
      <c r="G6" s="36" t="n">
        <v>0</v>
      </c>
      <c r="H6" s="36"/>
      <c r="I6" s="36"/>
    </row>
    <row r="7" customFormat="false" ht="15" hidden="false" customHeight="false" outlineLevel="0" collapsed="false">
      <c r="A7" s="16" t="s">
        <v>45</v>
      </c>
      <c r="B7" s="35" t="n">
        <f aca="false">$B$3+1</f>
        <v>46322</v>
      </c>
      <c r="C7" s="16" t="s">
        <v>41</v>
      </c>
      <c r="D7" s="36" t="s">
        <v>43</v>
      </c>
      <c r="E7" s="36" t="n">
        <v>1</v>
      </c>
      <c r="F7" s="36" t="n">
        <v>0</v>
      </c>
      <c r="G7" s="36" t="n">
        <v>0</v>
      </c>
      <c r="H7" s="36"/>
      <c r="I7" s="36"/>
    </row>
    <row r="8" customFormat="false" ht="15" hidden="false" customHeight="false" outlineLevel="0" collapsed="false">
      <c r="A8" s="16" t="s">
        <v>49</v>
      </c>
      <c r="B8" s="35" t="n">
        <f aca="false">$B$3+2</f>
        <v>46323</v>
      </c>
      <c r="C8" s="16" t="s">
        <v>41</v>
      </c>
      <c r="D8" s="36" t="s">
        <v>50</v>
      </c>
      <c r="E8" s="36" t="n">
        <v>1</v>
      </c>
      <c r="F8" s="36" t="n">
        <v>0</v>
      </c>
      <c r="G8" s="36" t="n">
        <v>0</v>
      </c>
      <c r="H8" s="36"/>
      <c r="I8" s="36"/>
    </row>
    <row r="9" customFormat="false" ht="15" hidden="false" customHeight="false" outlineLevel="0" collapsed="false">
      <c r="A9" s="16" t="s">
        <v>52</v>
      </c>
      <c r="B9" s="35" t="n">
        <f aca="false">$B$3+3</f>
        <v>46324</v>
      </c>
      <c r="C9" s="16" t="s">
        <v>41</v>
      </c>
      <c r="D9" s="36" t="s">
        <v>50</v>
      </c>
      <c r="E9" s="36" t="n">
        <v>1</v>
      </c>
      <c r="F9" s="36" t="n">
        <v>0</v>
      </c>
      <c r="G9" s="36" t="n">
        <v>0</v>
      </c>
      <c r="H9" s="36"/>
      <c r="I9" s="36"/>
    </row>
    <row r="10" customFormat="false" ht="15" hidden="false" customHeight="false" outlineLevel="0" collapsed="false">
      <c r="A10" s="16" t="s">
        <v>54</v>
      </c>
      <c r="B10" s="35" t="n">
        <f aca="false">$B$3+4</f>
        <v>46325</v>
      </c>
      <c r="C10" s="16" t="s">
        <v>55</v>
      </c>
      <c r="D10" s="36" t="s">
        <v>56</v>
      </c>
      <c r="E10" s="36" t="n">
        <v>2</v>
      </c>
      <c r="F10" s="36" t="n">
        <v>0</v>
      </c>
      <c r="G10" s="36" t="n">
        <v>0</v>
      </c>
      <c r="H10" s="36"/>
      <c r="I10" s="36"/>
    </row>
    <row r="11" customFormat="false" ht="15" hidden="false" customHeight="false" outlineLevel="0" collapsed="false">
      <c r="A11" s="16" t="s">
        <v>62</v>
      </c>
      <c r="B11" s="35" t="n">
        <f aca="false">$B$3+5</f>
        <v>46326</v>
      </c>
      <c r="C11" s="16" t="s">
        <v>63</v>
      </c>
      <c r="D11" s="36" t="s">
        <v>64</v>
      </c>
      <c r="E11" s="36" t="n">
        <v>2</v>
      </c>
      <c r="F11" s="36" t="n">
        <v>0</v>
      </c>
      <c r="G11" s="36" t="n">
        <v>0</v>
      </c>
      <c r="H11" s="36"/>
      <c r="I11" s="36"/>
    </row>
    <row r="12" customFormat="false" ht="15" hidden="false" customHeight="false" outlineLevel="0" collapsed="false">
      <c r="A12" s="16" t="s">
        <v>66</v>
      </c>
      <c r="B12" s="35" t="n">
        <f aca="false">$B$3+6</f>
        <v>46327</v>
      </c>
      <c r="C12" s="16" t="s">
        <v>67</v>
      </c>
      <c r="D12" s="36" t="s">
        <v>68</v>
      </c>
      <c r="E12" s="36" t="n">
        <v>2</v>
      </c>
      <c r="F12" s="36" t="n">
        <v>0</v>
      </c>
      <c r="G12" s="36" t="n">
        <v>0</v>
      </c>
      <c r="H12" s="36"/>
      <c r="I12" s="36"/>
    </row>
    <row r="14" customFormat="false" ht="15" hidden="false" customHeight="false" outlineLevel="0" collapsed="false">
      <c r="A14" s="3" t="s">
        <v>179</v>
      </c>
      <c r="E14" s="17" t="n">
        <f aca="false">SUM(E6:E12)</f>
        <v>10</v>
      </c>
      <c r="F14" s="17" t="n">
        <f aca="false">SUM(F6:F12)</f>
        <v>0</v>
      </c>
      <c r="G14" s="17" t="n">
        <f aca="false">SUM(G6:G12)</f>
        <v>0</v>
      </c>
    </row>
    <row r="16" customFormat="false" ht="15" hidden="false" customHeight="false" outlineLevel="0" collapsed="false">
      <c r="A16" s="3" t="s">
        <v>180</v>
      </c>
      <c r="E16" s="3" t="n">
        <f aca="false">INDEX(Calendario!$G$5:$G$33,Resumen!B7)</f>
        <v>6</v>
      </c>
    </row>
    <row r="17" customFormat="false" ht="15" hidden="false" customHeight="false" outlineLevel="0" collapsed="false">
      <c r="A17" s="3" t="s">
        <v>181</v>
      </c>
      <c r="E17" s="26" t="n">
        <f aca="false">IF(E14=0,"",F14/E14)</f>
        <v>0</v>
      </c>
    </row>
  </sheetData>
  <dataValidations count="1">
    <dataValidation allowBlank="true" errorStyle="stop" operator="between" showDropDown="false" showErrorMessage="false" showInputMessage="false" sqref="F6:G12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182</v>
      </c>
    </row>
    <row r="3" customFormat="false" ht="15" hidden="false" customHeight="false" outlineLevel="0" collapsed="false">
      <c r="A3" s="37" t="s">
        <v>183</v>
      </c>
      <c r="B3" s="38"/>
    </row>
    <row r="4" customFormat="false" ht="23.85" hidden="false" customHeight="false" outlineLevel="0" collapsed="false">
      <c r="A4" s="37"/>
      <c r="B4" s="38" t="s">
        <v>184</v>
      </c>
    </row>
    <row r="5" customFormat="false" ht="23.85" hidden="false" customHeight="false" outlineLevel="0" collapsed="false">
      <c r="A5" s="37"/>
      <c r="B5" s="38" t="s">
        <v>185</v>
      </c>
    </row>
    <row r="6" customFormat="false" ht="23.85" hidden="false" customHeight="false" outlineLevel="0" collapsed="false">
      <c r="A6" s="37"/>
      <c r="B6" s="38" t="s">
        <v>186</v>
      </c>
    </row>
    <row r="7" customFormat="false" ht="15" hidden="false" customHeight="false" outlineLevel="0" collapsed="false">
      <c r="A7" s="37" t="s">
        <v>187</v>
      </c>
      <c r="B7" s="38"/>
    </row>
    <row r="8" customFormat="false" ht="23.85" hidden="false" customHeight="false" outlineLevel="0" collapsed="false">
      <c r="A8" s="37"/>
      <c r="B8" s="38" t="s">
        <v>188</v>
      </c>
    </row>
    <row r="9" customFormat="false" ht="15" hidden="false" customHeight="false" outlineLevel="0" collapsed="false">
      <c r="A9" s="37" t="s">
        <v>189</v>
      </c>
      <c r="B9" s="38"/>
    </row>
    <row r="10" customFormat="false" ht="15" hidden="false" customHeight="false" outlineLevel="0" collapsed="false">
      <c r="A10" s="37" t="s">
        <v>190</v>
      </c>
      <c r="B10" s="38" t="s">
        <v>191</v>
      </c>
    </row>
    <row r="11" customFormat="false" ht="15" hidden="false" customHeight="false" outlineLevel="0" collapsed="false">
      <c r="A11" s="37" t="s">
        <v>192</v>
      </c>
      <c r="B11" s="38" t="s">
        <v>193</v>
      </c>
    </row>
    <row r="12" customFormat="false" ht="15" hidden="false" customHeight="false" outlineLevel="0" collapsed="false">
      <c r="A12" s="37" t="s">
        <v>194</v>
      </c>
      <c r="B12" s="38" t="s">
        <v>195</v>
      </c>
    </row>
    <row r="13" customFormat="false" ht="15" hidden="false" customHeight="false" outlineLevel="0" collapsed="false">
      <c r="A13" s="37" t="s">
        <v>196</v>
      </c>
      <c r="B13" s="38" t="s">
        <v>197</v>
      </c>
    </row>
    <row r="14" customFormat="false" ht="15" hidden="false" customHeight="false" outlineLevel="0" collapsed="false">
      <c r="A14" s="37" t="s">
        <v>198</v>
      </c>
      <c r="B14" s="38" t="s">
        <v>199</v>
      </c>
    </row>
    <row r="15" customFormat="false" ht="15" hidden="false" customHeight="false" outlineLevel="0" collapsed="false">
      <c r="A15" s="37" t="s">
        <v>200</v>
      </c>
      <c r="B15" s="38" t="s">
        <v>201</v>
      </c>
    </row>
    <row r="16" customFormat="false" ht="15" hidden="false" customHeight="false" outlineLevel="0" collapsed="false">
      <c r="A16" s="37" t="s">
        <v>202</v>
      </c>
      <c r="B16" s="38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2026-10-26T10:35:25Z</dcterms:created>
  <dc:creator>openpyxl</dc:creator>
  <dc:description/>
  <dc:language>en-US</dc:language>
  <cp:lastModifiedBy/>
  <dcterms:modified xsi:type="dcterms:W3CDTF">2026-10-26T10:35:26Z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