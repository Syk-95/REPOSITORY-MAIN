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el" sheetId="1" state="visible" r:id="rId3"/>
    <sheet name="Diario" sheetId="2" state="visible" r:id="rId4"/>
    <sheet name="Calendario" sheetId="3" state="visible" r:id="rId5"/>
    <sheet name="Temas" sheetId="4" state="visible" r:id="rId6"/>
    <sheet name="Lecturas" sheetId="5" state="visible" r:id="rId7"/>
    <sheet name="Registro" sheetId="6" state="visible" r:id="rId8"/>
    <sheet name="Errores" sheetId="7" state="visible" r:id="rId9"/>
    <sheet name="Eventos" sheetId="8" state="visible" r:id="rId10"/>
    <sheet name="Rutina" sheetId="9" state="visible" r:id="rId11"/>
    <sheet name="Prearranque" sheetId="10" state="visible" r:id="rId12"/>
    <sheet name="Regla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<sst xmlns="http://schemas.openxmlformats.org/spreadsheetml/2006/main" count="460" uniqueCount="287">
  <si>
    <t xml:space="preserve">CFA Nivel 2 – Panel de control</t>
  </si>
  <si>
    <t xml:space="preserve">Amarillo + texto azul = lo editas tú. Todo lo demás se calcula solo. Registra cada noche en la hoja Diario.</t>
  </si>
  <si>
    <t xml:space="preserve">Inicio del plan (lunes semana 1)</t>
  </si>
  <si>
    <t xml:space="preserve">Dato tuyo: 2-nov-2026</t>
  </si>
  <si>
    <t xml:space="preserve">Fecha del examen</t>
  </si>
  <si>
    <t xml:space="preserve">SUPUESTO (mayo): no estás inscrito aún. Cámbiala</t>
  </si>
  <si>
    <t xml:space="preserve">Hoy</t>
  </si>
  <si>
    <t xml:space="preserve">Minutos por bloque</t>
  </si>
  <si>
    <t xml:space="preserve">2 pomodoros de 40 min + 5 min de pausa</t>
  </si>
  <si>
    <t xml:space="preserve">Horas por bloque</t>
  </si>
  <si>
    <t xml:space="preserve">Bloques mínimos por semana</t>
  </si>
  <si>
    <t xml:space="preserve">Bajo esto: solo núcleo (leer y ejercicios) y errores</t>
  </si>
  <si>
    <t xml:space="preserve">Deuda que obliga a correr el calendario</t>
  </si>
  <si>
    <t xml:space="preserve">Regla: más de 6 bloques de deuda = correr 1 semana</t>
  </si>
  <si>
    <t xml:space="preserve">Hora límite para acostarte (dom–jue)</t>
  </si>
  <si>
    <t xml:space="preserve">Tú dijiste que puedes antes de las 23:30</t>
  </si>
  <si>
    <t xml:space="preserve">Seguimiento</t>
  </si>
  <si>
    <t xml:space="preserve">Semana actual del plan</t>
  </si>
  <si>
    <t xml:space="preserve">Días para el inicio</t>
  </si>
  <si>
    <t xml:space="preserve">Días para el examen</t>
  </si>
  <si>
    <t xml:space="preserve">Bloques planeados hasta ayer</t>
  </si>
  <si>
    <t xml:space="preserve">Bloques hechos (total registrado)</t>
  </si>
  <si>
    <t xml:space="preserve">Deuda actual de bloques</t>
  </si>
  <si>
    <t xml:space="preserve">Horas en bloques</t>
  </si>
  <si>
    <t xml:space="preserve">Horas leyendo en transporte</t>
  </si>
  <si>
    <t xml:space="preserve">Horas totales de estudio</t>
  </si>
  <si>
    <t xml:space="preserve">Cumplimiento hasta ayer</t>
  </si>
  <si>
    <t xml:space="preserve">Estado</t>
  </si>
  <si>
    <t xml:space="preserve">Bloques planeados hoy</t>
  </si>
  <si>
    <t xml:space="preserve">Tipo de bloque de hoy</t>
  </si>
  <si>
    <t xml:space="preserve">Tema de la semana</t>
  </si>
  <si>
    <t xml:space="preserve">Errores por repasar hoy</t>
  </si>
  <si>
    <t xml:space="preserve">Sueño en regla (últimos 7 días)</t>
  </si>
  <si>
    <t xml:space="preserve">Ejercicio físico (min, últimos 7 días)</t>
  </si>
  <si>
    <t xml:space="preserve">Preguntas CFA hechas / totales</t>
  </si>
  <si>
    <t xml:space="preserve">Puntaje promedio en ejercicios y mocks</t>
  </si>
  <si>
    <t xml:space="preserve">Mensaje</t>
  </si>
  <si>
    <t xml:space="preserve">Diario: tu logbook diario</t>
  </si>
  <si>
    <t xml:space="preserve">Cada noche: bloques hechos, minutos de transporte, preguntas resueltas, ejercicio y hora a la que te acostaste. Lo no registrado cuenta como no hecho.</t>
  </si>
  <si>
    <t xml:space="preserve">Sem</t>
  </si>
  <si>
    <t xml:space="preserve">Fecha</t>
  </si>
  <si>
    <t xml:space="preserve">Día</t>
  </si>
  <si>
    <t xml:space="preserve">Tipo</t>
  </si>
  <si>
    <t xml:space="preserve">Bloques plan</t>
  </si>
  <si>
    <t xml:space="preserve">Bloques hechos</t>
  </si>
  <si>
    <t xml:space="preserve">Horas bloques</t>
  </si>
  <si>
    <t xml:space="preserve">Min transporte</t>
  </si>
  <si>
    <t xml:space="preserve">Preguntas CFA</t>
  </si>
  <si>
    <t xml:space="preserve">Ejercicio (min)</t>
  </si>
  <si>
    <t xml:space="preserve">Acostado a las</t>
  </si>
  <si>
    <t xml:space="preserve">Sueño ok</t>
  </si>
  <si>
    <t xml:space="preserve">Notas</t>
  </si>
  <si>
    <t xml:space="preserve">Resumen tipo logbook</t>
  </si>
  <si>
    <t xml:space="preserve">Horas totales (bloques)</t>
  </si>
  <si>
    <t xml:space="preserve">Días estudiados</t>
  </si>
  <si>
    <t xml:space="preserve">Horas por día estudiado</t>
  </si>
  <si>
    <t xml:space="preserve">Min de transporte totales</t>
  </si>
  <si>
    <t xml:space="preserve">Preguntas CFA resueltas</t>
  </si>
  <si>
    <t xml:space="preserve">Min de ejercicio totales</t>
  </si>
  <si>
    <t xml:space="preserve">Calendario de 29 semanas</t>
  </si>
  <si>
    <t xml:space="preserve">Plan y hecho se calculan desde el Diario y los Eventos. Solo editas el Tema, la Fase y las Notas si cambias el orden.</t>
  </si>
  <si>
    <t xml:space="preserve">Inicio (lun)</t>
  </si>
  <si>
    <t xml:space="preserve">Fin (dom)</t>
  </si>
  <si>
    <t xml:space="preserve">Tema</t>
  </si>
  <si>
    <t xml:space="preserve">Fase</t>
  </si>
  <si>
    <t xml:space="preserve">Colchón</t>
  </si>
  <si>
    <t xml:space="preserve">Dif.</t>
  </si>
  <si>
    <t xml:space="preserve">Cumpl.</t>
  </si>
  <si>
    <t xml:space="preserve">Deuda acum.</t>
  </si>
  <si>
    <t xml:space="preserve">Quant</t>
  </si>
  <si>
    <t xml:space="preserve">1ª pasada + setup</t>
  </si>
  <si>
    <t xml:space="preserve">No</t>
  </si>
  <si>
    <t xml:space="preserve">Inicio 2-nov. Setup del escritorio, diagnóstico y repaso L1 de Quant (tu resumen)</t>
  </si>
  <si>
    <t xml:space="preserve">1ª pasada</t>
  </si>
  <si>
    <t xml:space="preserve">Economía</t>
  </si>
  <si>
    <t xml:space="preserve">Tu tema más débil en el L1: parte con tu resumen L1 y no te saltes ejercicios</t>
  </si>
  <si>
    <t xml:space="preserve">FSA</t>
  </si>
  <si>
    <t xml:space="preserve">Matrimonio sáb 5-dic: estudia por la mañana</t>
  </si>
  <si>
    <t xml:space="preserve">Mar 8-dic feriado (+1 bloque). Matrimonio sáb 12-dic: por la mañana</t>
  </si>
  <si>
    <t xml:space="preserve">Corporate Issuers</t>
  </si>
  <si>
    <t xml:space="preserve">Navidad: semana liviana</t>
  </si>
  <si>
    <t xml:space="preserve">Sí</t>
  </si>
  <si>
    <t xml:space="preserve">Año Nuevo: semana liviana, absorbe deuda</t>
  </si>
  <si>
    <t xml:space="preserve">Equity</t>
  </si>
  <si>
    <t xml:space="preserve">1ª pasada + chequeo</t>
  </si>
  <si>
    <t xml:space="preserve">Chequeo intermedio (24-ene): ¿Quant, Econ, FSA, CI y Equity ≥ 65%?</t>
  </si>
  <si>
    <t xml:space="preserve">Renta Fija</t>
  </si>
  <si>
    <t xml:space="preserve">Cierra Renta Fija antes de las vacaciones (vie 12-feb, por definir)</t>
  </si>
  <si>
    <t xml:space="preserve">Vacaciones</t>
  </si>
  <si>
    <t xml:space="preserve">Descanso total</t>
  </si>
  <si>
    <t xml:space="preserve">—</t>
  </si>
  <si>
    <t xml:space="preserve">10 días con tu polola (fechas por definir en Eventos). Sin estudio</t>
  </si>
  <si>
    <t xml:space="preserve">Derivados</t>
  </si>
  <si>
    <t xml:space="preserve">Vuelta: parte liviana, 1 bloque de repaso de Renta Fija</t>
  </si>
  <si>
    <t xml:space="preserve">Derivados / Alternativos</t>
  </si>
  <si>
    <t xml:space="preserve">Alternativos</t>
  </si>
  <si>
    <t xml:space="preserve">Portafolio</t>
  </si>
  <si>
    <t xml:space="preserve">Vie 2-abr feriado (+1 bloque). Dom 4-abr: decisión mayo o noviembre (≥ 65–70% y 10 temas vistos = mayo)</t>
  </si>
  <si>
    <t xml:space="preserve">Todos</t>
  </si>
  <si>
    <t xml:space="preserve">2ª pasada + QBank mixto</t>
  </si>
  <si>
    <t xml:space="preserve">Mock 1 + análisis</t>
  </si>
  <si>
    <t xml:space="preserve">Mock 2 + análisis</t>
  </si>
  <si>
    <t xml:space="preserve">Mock 3 + análisis</t>
  </si>
  <si>
    <t xml:space="preserve">Repaso liviano + examen</t>
  </si>
  <si>
    <t xml:space="preserve">Semana del examen (15-may si se confirma): solo repaso de resúmenes y fórmulas</t>
  </si>
  <si>
    <t xml:space="preserve">Después del examen</t>
  </si>
  <si>
    <t xml:space="preserve">Sobra si el examen es el 15-may</t>
  </si>
  <si>
    <t xml:space="preserve">Total</t>
  </si>
  <si>
    <t xml:space="preserve">Vacaciones, Navidad, Año Nuevo y feriados son supuestos: ajústalos en la hoja Eventos y el plan se recalcula.</t>
  </si>
  <si>
    <t xml:space="preserve">Temas: plan y avance</t>
  </si>
  <si>
    <t xml:space="preserve">Avance = 35% leído y subrayado + 20% resumen + 45% ejercicios. Si cargas las Lecturas, se calcula solo; si no, usa las columnas manuales.</t>
  </si>
  <si>
    <t xml:space="preserve">Desempeño L1</t>
  </si>
  <si>
    <t xml:space="preserve">Prioridad</t>
  </si>
  <si>
    <t xml:space="preserve">Horas plan</t>
  </si>
  <si>
    <t xml:space="preserve">Bloques</t>
  </si>
  <si>
    <t xml:space="preserve">Sem. inicio</t>
  </si>
  <si>
    <t xml:space="preserve">Sem. fin</t>
  </si>
  <si>
    <t xml:space="preserve">Fecha inicio</t>
  </si>
  <si>
    <t xml:space="preserve">Fecha fin</t>
  </si>
  <si>
    <t xml:space="preserve">Repaso L1 hecho</t>
  </si>
  <si>
    <t xml:space="preserve">Lecturas cargadas</t>
  </si>
  <si>
    <t xml:space="preserve">Leído % (manual)</t>
  </si>
  <si>
    <t xml:space="preserve">Resumen % (manual)</t>
  </si>
  <si>
    <t xml:space="preserve">Ejercicios % (manual)</t>
  </si>
  <si>
    <t xml:space="preserve">Leído %</t>
  </si>
  <si>
    <t xml:space="preserve">Resumen %</t>
  </si>
  <si>
    <t xml:space="preserve">Ejercicios %</t>
  </si>
  <si>
    <t xml:space="preserve">Feynman</t>
  </si>
  <si>
    <t xml:space="preserve">Brechas</t>
  </si>
  <si>
    <t xml:space="preserve">Puntaje prom.</t>
  </si>
  <si>
    <t xml:space="preserve">Avance</t>
  </si>
  <si>
    <t xml:space="preserve">Págs resumen (tope)</t>
  </si>
  <si>
    <t xml:space="preserve">Págs resumen hechas</t>
  </si>
  <si>
    <t xml:space="preserve">Ética</t>
  </si>
  <si>
    <t xml:space="preserve">Alto</t>
  </si>
  <si>
    <t xml:space="preserve">Media</t>
  </si>
  <si>
    <t xml:space="preserve">Normal</t>
  </si>
  <si>
    <t xml:space="preserve">Bajo (el más débil)</t>
  </si>
  <si>
    <t xml:space="preserve">Alta</t>
  </si>
  <si>
    <t xml:space="preserve">Medio</t>
  </si>
  <si>
    <t xml:space="preserve">Muy alto</t>
  </si>
  <si>
    <t xml:space="preserve">Horas plan: supuestos míos (Economía +, Derivados −). Ética (20 h) va dentro de los bloques V, no suma aparte. Págs de resumen: tope tuyo (en el L1 hiciste 172 págs en total); ajústalo.</t>
  </si>
  <si>
    <t xml:space="preserve">Lecturas (tu checklist de los Schweser)</t>
  </si>
  <si>
    <t xml:space="preserve">Una fila por reading, en el orden de tus libros. Pásame el índice de los 5 libros (foto) y te lo cargo. Fila 5 = ejemplo (se ignora).</t>
  </si>
  <si>
    <t xml:space="preserve">Reading Nº</t>
  </si>
  <si>
    <t xml:space="preserve">Título</t>
  </si>
  <si>
    <t xml:space="preserve">Págs</t>
  </si>
  <si>
    <t xml:space="preserve">Min video</t>
  </si>
  <si>
    <t xml:space="preserve">Leído y subrayado</t>
  </si>
  <si>
    <t xml:space="preserve">Resumido</t>
  </si>
  <si>
    <t xml:space="preserve">Ejercicios totales</t>
  </si>
  <si>
    <t xml:space="preserve">Ejercicios hechos</t>
  </si>
  <si>
    <t xml:space="preserve">Último repaso</t>
  </si>
  <si>
    <t xml:space="preserve">EJEMPLO</t>
  </si>
  <si>
    <t xml:space="preserve">Reading de ejemplo (borrar)</t>
  </si>
  <si>
    <t xml:space="preserve">No cuenta en los totales</t>
  </si>
  <si>
    <t xml:space="preserve">Registro de ejercicios y mocks</t>
  </si>
  <si>
    <t xml:space="preserve">Fila 5 = ejemplo (se ignora). Los promedios por tema alimentan Temas y el Panel. Meta: ≥ 70%.</t>
  </si>
  <si>
    <t xml:space="preserve">Puntaje %</t>
  </si>
  <si>
    <t xml:space="preserve">Nº preguntas</t>
  </si>
  <si>
    <t xml:space="preserve">QBank</t>
  </si>
  <si>
    <t xml:space="preserve">EJEMPLO: fallé monetaria/fiscal; va al registro de errores</t>
  </si>
  <si>
    <t xml:space="preserve">Registro de errores (tu 'Secret Sauce' personal)</t>
  </si>
  <si>
    <t xml:space="preserve">Escribe la fecha y el resto; los repasos a +7 y +21 días se calculan solos. Fila 5 = ejemplo.</t>
  </si>
  <si>
    <t xml:space="preserve">Concepto / LOS</t>
  </si>
  <si>
    <t xml:space="preserve">Qué respondí</t>
  </si>
  <si>
    <t xml:space="preserve">Tipo de error</t>
  </si>
  <si>
    <t xml:space="preserve">Regla correcta</t>
  </si>
  <si>
    <t xml:space="preserve">Repaso 1 (+7d)</t>
  </si>
  <si>
    <t xml:space="preserve">¿Hecho?</t>
  </si>
  <si>
    <t xml:space="preserve">Repaso 2 (+21d)</t>
  </si>
  <si>
    <t xml:space="preserve">Política fiscal vs monetaria</t>
  </si>
  <si>
    <t xml:space="preserve">Elegí la tasa de interés como herramienta fiscal</t>
  </si>
  <si>
    <t xml:space="preserve">Concepto</t>
  </si>
  <si>
    <t xml:space="preserve">La fiscal usa gasto e impuestos; la monetaria, tasa y reservas (ejemplo)</t>
  </si>
  <si>
    <t xml:space="preserve">Eventos que cambian tus bloques</t>
  </si>
  <si>
    <t xml:space="preserve">Agrega una fila por cada cosa que salga. El Diario y el Calendario se recalculan solos. % perdido: 1 = todo el día, 0.5 = la mitad.</t>
  </si>
  <si>
    <t xml:space="preserve">Inicio</t>
  </si>
  <si>
    <t xml:space="preserve">Fin</t>
  </si>
  <si>
    <t xml:space="preserve">Evento</t>
  </si>
  <si>
    <t xml:space="preserve">% bloques perdidos (0–1)</t>
  </si>
  <si>
    <t xml:space="preserve">Bloques extra por día</t>
  </si>
  <si>
    <t xml:space="preserve">Matrimonio (sábado)</t>
  </si>
  <si>
    <t xml:space="preserve">Confirmado</t>
  </si>
  <si>
    <t xml:space="preserve">Puedes estudiar por la mañana: sin pérdida</t>
  </si>
  <si>
    <t xml:space="preserve">Feriado 8 de diciembre (martes)</t>
  </si>
  <si>
    <t xml:space="preserve">Confirmar</t>
  </si>
  <si>
    <t xml:space="preserve">Día libre: 1 bloque extra</t>
  </si>
  <si>
    <t xml:space="preserve">Navidad</t>
  </si>
  <si>
    <t xml:space="preserve">Supuesto</t>
  </si>
  <si>
    <t xml:space="preserve">Familia: sin estudio</t>
  </si>
  <si>
    <t xml:space="preserve">Año Nuevo (víspera)</t>
  </si>
  <si>
    <t xml:space="preserve">Año Nuevo</t>
  </si>
  <si>
    <t xml:space="preserve">VACACIONES con tu polola (10 días)</t>
  </si>
  <si>
    <t xml:space="preserve">Fechas por definir: cámbialas aquí</t>
  </si>
  <si>
    <t xml:space="preserve">Viernes Santo</t>
  </si>
  <si>
    <t xml:space="preserve">Víspera y día del examen (automático)</t>
  </si>
  <si>
    <t xml:space="preserve">Automático</t>
  </si>
  <si>
    <t xml:space="preserve">Depende de la fecha del examen en Panel</t>
  </si>
  <si>
    <t xml:space="preserve">Rutina semanal (10 bloques de 90 min)</t>
  </si>
  <si>
    <t xml:space="preserve">Los 'Bloques' de esta tabla son la base del plan: si cambias un número, el Diario y el Calendario se recalculan.</t>
  </si>
  <si>
    <t xml:space="preserve">Franja</t>
  </si>
  <si>
    <t xml:space="preserve">Qué hacer</t>
  </si>
  <si>
    <t xml:space="preserve">Dónde</t>
  </si>
  <si>
    <t xml:space="preserve">Lunes</t>
  </si>
  <si>
    <t xml:space="preserve">20:00–21:30</t>
  </si>
  <si>
    <t xml:space="preserve">R</t>
  </si>
  <si>
    <t xml:space="preserve">Resumir lo subrayado en el transporte (tope de págs por tema en hoja Temas)</t>
  </si>
  <si>
    <t xml:space="preserve">Casa (escritorio CFA)</t>
  </si>
  <si>
    <t xml:space="preserve">Martes</t>
  </si>
  <si>
    <t xml:space="preserve">Seguir resumiendo + fórmulas con la BA II Plus</t>
  </si>
  <si>
    <t xml:space="preserve">Casa</t>
  </si>
  <si>
    <t xml:space="preserve">Miércoles</t>
  </si>
  <si>
    <t xml:space="preserve">Q</t>
  </si>
  <si>
    <t xml:space="preserve">Ejercicios del tema (vignettes) + registro de errores</t>
  </si>
  <si>
    <t xml:space="preserve">Jueves</t>
  </si>
  <si>
    <t xml:space="preserve">Ejercicios + simulador de errores; cerrar la semana de errores</t>
  </si>
  <si>
    <t xml:space="preserve">Viernes</t>
  </si>
  <si>
    <t xml:space="preserve">15:00–18:30</t>
  </si>
  <si>
    <t xml:space="preserve">L + Q</t>
  </si>
  <si>
    <t xml:space="preserve">Bloque fuerte: lo más difícil + ejercicios (Samexid opcional, según tu médico)</t>
  </si>
  <si>
    <t xml:space="preserve">Sábado</t>
  </si>
  <si>
    <t xml:space="preserve">09:00–12:00</t>
  </si>
  <si>
    <t xml:space="preserve">L + R</t>
  </si>
  <si>
    <t xml:space="preserve">Leer/subrayar lo pendiente + resumir. Matrimonios: igual por la mañana</t>
  </si>
  <si>
    <t xml:space="preserve">Casa de tu polola</t>
  </si>
  <si>
    <t xml:space="preserve">Domingo</t>
  </si>
  <si>
    <t xml:space="preserve">16:00–19:30</t>
  </si>
  <si>
    <t xml:space="preserve">V + F</t>
  </si>
  <si>
    <t xml:space="preserve">Repaso espaciado (errores + Ética 1 h) + Feynman / detector de brechas + planificar semana</t>
  </si>
  <si>
    <t xml:space="preserve">Fuera de los bloques</t>
  </si>
  <si>
    <t xml:space="preserve">Transporte (L–J)</t>
  </si>
  <si>
    <t xml:space="preserve">Ida 06:45–08:00 y vuelta 17:30–18:30/19:00: leer y subrayar en papel, sentado. Extra, no cuenta como bloque. Regístralo en Diario (min).</t>
  </si>
  <si>
    <t xml:space="preserve">Pausa pre-estudio</t>
  </si>
  <si>
    <t xml:space="preserve">Llegar, comer, relajarte 30–60 min. Estudiar desde las 20:00. Celular fuera de la pieza durante los bloques.</t>
  </si>
  <si>
    <t xml:space="preserve">Sueño</t>
  </si>
  <si>
    <t xml:space="preserve">Acostarte antes de las 23:30 de domingo a jueves. Despertar 6:00. Registra la hora en Diario.</t>
  </si>
  <si>
    <t xml:space="preserve">Ejercicio (por definir)</t>
  </si>
  <si>
    <t xml:space="preserve">Tentativo: 3 sesiones/semana de 40 min. Opciones: (a) tarde, 18:45–19:30 al llegar, como tu pausa; (b) noche, 21:45–22:30 tras el bloque; (c) sábado en la mañana antes de estudiar. Dime cuál prefieres.</t>
  </si>
  <si>
    <t xml:space="preserve">Samexid</t>
  </si>
  <si>
    <t xml:space="preserve">Solo en días fuertes y con la indicación de tu médico. El plan no depende de eso.</t>
  </si>
  <si>
    <t xml:space="preserve">Claves: L = leer y subrayar · R = resumir · Q = ejercicios + errores · V = repaso espaciado y Ética · F = Feynman / detector de brechas.</t>
  </si>
  <si>
    <t xml:space="preserve">Prearranque (hasta el 1-nov)</t>
  </si>
  <si>
    <t xml:space="preserve">Lo que conviene dejar listo antes de partir el 2 de noviembre.</t>
  </si>
  <si>
    <t xml:space="preserve">Tarea</t>
  </si>
  <si>
    <t xml:space="preserve">¿Listo?</t>
  </si>
  <si>
    <t xml:space="preserve">Confirmar fecha del examen e inscribirte en CFA Institute (revisar plazos y precio)</t>
  </si>
  <si>
    <t xml:space="preserve">Hoy asumimos mayo. Si no te da, el plan sirve para noviembre</t>
  </si>
  <si>
    <t xml:space="preserve">Verificar qué cambió del currículum entre tus Schweser 2025 y el año de tu examen</t>
  </si>
  <si>
    <t xml:space="preserve">Mira la lista de cambios de CFA Institute y de Schweser/Kaplan; compra solo lo que cambió</t>
  </si>
  <si>
    <t xml:space="preserve">Cargar el índice de los 5 libros en la hoja Lecturas (foto del índice)</t>
  </si>
  <si>
    <t xml:space="preserve">Yo lo cargo si me lo pasas</t>
  </si>
  <si>
    <t xml:space="preserve">Ubicar tu resumen del Nivel 1 de Economía y Quant para el repaso inicial</t>
  </si>
  <si>
    <t xml:space="preserve">Dejar el escritorio listo: luz, calculadora BA II Plus con pila, resaltadores, lápiz</t>
  </si>
  <si>
    <t xml:space="preserve">Ubicar mocks oficiales y QBank/vignettes que usarás</t>
  </si>
  <si>
    <t xml:space="preserve">Mocks oficiales ya descargados</t>
  </si>
  <si>
    <t xml:space="preserve">Contratar a quien ordene tu pieza cada 2 semanas</t>
  </si>
  <si>
    <t xml:space="preserve">Definir ejercicio: días y horario (ver hoja Rutina)</t>
  </si>
  <si>
    <t xml:space="preserve">Configurar bloqueo del celular durante los bloques (modo concentración / otra pieza)</t>
  </si>
  <si>
    <t xml:space="preserve">Es lo que más te distrae</t>
  </si>
  <si>
    <t xml:space="preserve">Hacer un diagnóstico de 30–40 preguntas mixtas del L1 y anotar el puntaje en Registro</t>
  </si>
  <si>
    <t xml:space="preserve">Para saber cuánto recuerdas</t>
  </si>
  <si>
    <t xml:space="preserve">Avance del prearranque</t>
  </si>
  <si>
    <t xml:space="preserve">Perfil, método y reglas</t>
  </si>
  <si>
    <t xml:space="preserve">PERFIL</t>
  </si>
  <si>
    <t xml:space="preserve">Ingeniería Comercial UC, FP&amp;A en aseguradora de vida. L1 aprobado feb-2025 (1710 vs MPS 1600). Vives con tus padres. Polola: vie noche a dom mediodía.</t>
  </si>
  <si>
    <t xml:space="preserve">Trabajo L–J 8:00–17:30 y vie hasta 14:00. Transporte sentado. Estudias mejor tras una pausa. Samexid con conocimiento de tu médico. Te distrae el celular.</t>
  </si>
  <si>
    <t xml:space="preserve">Material: Schweser impresos 2025, mocks oficiales descargados, BA II Plus. Aprendes escribiendo, leyendo y viendo ejercicios resueltos.</t>
  </si>
  <si>
    <t xml:space="preserve">MÉTODO</t>
  </si>
  <si>
    <t xml:space="preserve">Por tema: 1) repaso L1 con tu resumen, 2) leer y subrayar (transporte), 3) resumir lo subrayado, 4) ejercicios y registro de errores, 5) Feynman + detector de brechas.</t>
  </si>
  <si>
    <t xml:space="preserve">REGLAS</t>
  </si>
  <si>
    <t xml:space="preserve">1</t>
  </si>
  <si>
    <t xml:space="preserve">Avísame qué cambia (día, horas libres) y lo agrego a Eventos o reordeno la semana.</t>
  </si>
  <si>
    <t xml:space="preserve">2</t>
  </si>
  <si>
    <t xml:space="preserve">Bloque perdido = deuda. Orden de sacrificio: Ética, Feynman/brechas, repaso, resumen más corto. El núcleo (leer y ejercicios) no se sacrifica.</t>
  </si>
  <si>
    <t xml:space="preserve">3</t>
  </si>
  <si>
    <t xml:space="preserve">Máx. 2 bloques en un día de semana. Hasta 3 en fin de semana.</t>
  </si>
  <si>
    <t xml:space="preserve">4</t>
  </si>
  <si>
    <t xml:space="preserve">Recuperas hasta 3 bloques de deuda por semana; el resto va a las semanas colchón (9, 12, 19, 22).</t>
  </si>
  <si>
    <t xml:space="preserve">5</t>
  </si>
  <si>
    <t xml:space="preserve">Deuda &gt; 6 bloques: corre el calendario 1 semana. Corrimiento &gt; 2 semanas antes del 4-abr: se evalúa pasar a noviembre.</t>
  </si>
  <si>
    <t xml:space="preserve">6</t>
  </si>
  <si>
    <t xml:space="preserve">Semana con menos de 7 bloques: solo núcleo y errores. Mala noche o enfermedad: se salta, no se compensa ese mismo día.</t>
  </si>
  <si>
    <t xml:space="preserve">7</t>
  </si>
  <si>
    <t xml:space="preserve">Decisión mayo/noviembre el 4-abr: ≥ 65–70% en ejercicios y 10 temas vistos = mayo.</t>
  </si>
  <si>
    <t xml:space="preserve">TONO</t>
  </si>
  <si>
    <t xml:space="preserve">Si te atrasas: firme y amable según el caso, con estoicismo y lo que está en juego para tu carrera.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</si>
</sst>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hh:mm"/>
    <numFmt numFmtId="169" formatCode="0%"/>
    <numFmt numFmtId="170" formatCode="@"/>
    <numFmt numFmtId="171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FF2CC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Bloques por semana: plan vs hecho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Calendario!G4</c:f>
              <c:strCache>
                <c:ptCount val="1"/>
                <c:pt idx="0">
                  <c:v>Bloques plan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Calendario!$A$5:$A$33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cat>
          <c:val>
            <c:numRef>
              <c:f>Calendario!$G$5:$G$33</c:f>
              <c:numCache>
                <c:formatCode>0.0</c:formatCode>
                <c:ptCount val="2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4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11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4</c:v>
                </c:pt>
                <c:pt idx="28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Calendario!H4</c:f>
              <c:strCache>
                <c:ptCount val="1"/>
                <c:pt idx="0">
                  <c:v>Bloques hechos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Calendario!$A$5:$A$33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cat>
          <c:val>
            <c:numRef>
              <c:f>Calendario!$H$5:$H$33</c:f>
              <c:numCache>
                <c:formatCode>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</c:ser>
        <c:gapWidth val="150"/>
        <c:overlap val="0"/>
        <c:axId val="11601723"/>
        <c:axId val="73301040"/>
      </c:barChart>
      <c:catAx>
        <c:axId val="116017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01040"/>
        <c:crosses val="autoZero"/>
        <c:auto val="1"/>
        <c:lblAlgn val="ctr"/>
        <c:lblOffset val="100"/>
        <c:noMultiLvlLbl val="0"/>
      </c:catAx>
      <c:valAx>
        <c:axId val="73301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Bloques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017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 por tema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Temas!U4</c:f>
              <c:strCache>
                <c:ptCount val="1"/>
                <c:pt idx="0">
                  <c:v>Avance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Temas!$A$5:$A$14</c:f>
              <c:strCache>
                <c:ptCount val="10"/>
                <c:pt idx="0">
                  <c:v>Ética</c:v>
                </c:pt>
                <c:pt idx="1">
                  <c:v>Quant</c:v>
                </c:pt>
                <c:pt idx="2">
                  <c:v>Economía</c:v>
                </c:pt>
                <c:pt idx="3">
                  <c:v>FSA</c:v>
                </c:pt>
                <c:pt idx="4">
                  <c:v>Corporate Issuers</c:v>
                </c:pt>
                <c:pt idx="5">
                  <c:v>Equity</c:v>
                </c:pt>
                <c:pt idx="6">
                  <c:v>Renta Fija</c:v>
                </c:pt>
                <c:pt idx="7">
                  <c:v>Derivados</c:v>
                </c:pt>
                <c:pt idx="8">
                  <c:v>Alternativos</c:v>
                </c:pt>
                <c:pt idx="9">
                  <c:v>Portafolio</c:v>
                </c:pt>
              </c:strCache>
            </c:strRef>
          </c:cat>
          <c:val>
            <c:numRef>
              <c:f>Temas!$U$5:$U$14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1404215"/>
        <c:axId val="3633557"/>
      </c:barChart>
      <c:catAx>
        <c:axId val="91404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3557"/>
        <c:crosses val="autoZero"/>
        <c:auto val="1"/>
        <c:lblAlgn val="ctr"/>
        <c:lblOffset val="100"/>
        <c:noMultiLvlLbl val="0"/>
      </c:catAx>
      <c:valAx>
        <c:axId val="363355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042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Puntaje promedio por tema (meta 70%)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Temas!T4</c:f>
              <c:strCache>
                <c:ptCount val="1"/>
                <c:pt idx="0">
                  <c:v>Puntaje prom.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Temas!$A$5:$A$14</c:f>
              <c:strCache>
                <c:ptCount val="10"/>
                <c:pt idx="0">
                  <c:v>Ética</c:v>
                </c:pt>
                <c:pt idx="1">
                  <c:v>Quant</c:v>
                </c:pt>
                <c:pt idx="2">
                  <c:v>Economía</c:v>
                </c:pt>
                <c:pt idx="3">
                  <c:v>FSA</c:v>
                </c:pt>
                <c:pt idx="4">
                  <c:v>Corporate Issuers</c:v>
                </c:pt>
                <c:pt idx="5">
                  <c:v>Equity</c:v>
                </c:pt>
                <c:pt idx="6">
                  <c:v>Renta Fija</c:v>
                </c:pt>
                <c:pt idx="7">
                  <c:v>Derivados</c:v>
                </c:pt>
                <c:pt idx="8">
                  <c:v>Alternativos</c:v>
                </c:pt>
                <c:pt idx="9">
                  <c:v>Portafolio</c:v>
                </c:pt>
              </c:strCache>
            </c:strRef>
          </c:cat>
          <c:val>
            <c:numRef>
              <c:f>Temas!$T$5:$T$14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85208855"/>
        <c:axId val="26805656"/>
      </c:barChart>
      <c:catAx>
        <c:axId val="85208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05656"/>
        <c:crosses val="autoZero"/>
        <c:auto val="1"/>
        <c:lblAlgn val="ctr"/>
        <c:lblOffset val="100"/>
        <c:noMultiLvlLbl val="0"/>
      </c:catAx>
      <c:valAx>
        <c:axId val="2680565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2088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15</xdr:col>
      <xdr:colOff>473040</xdr:colOff>
      <xdr:row>17</xdr:row>
      <xdr:rowOff>182880</xdr:rowOff>
    </xdr:to>
    <xdr:graphicFrame>
      <xdr:nvGraphicFramePr>
        <xdr:cNvPr id="0" name="Chart 1"/>
        <xdr:cNvGraphicFramePr/>
      </xdr:nvGraphicFramePr>
      <xdr:xfrm>
        <a:off x="740088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19</xdr:row>
      <xdr:rowOff>160560</xdr:rowOff>
    </xdr:from>
    <xdr:to>
      <xdr:col>15</xdr:col>
      <xdr:colOff>473040</xdr:colOff>
      <xdr:row>34</xdr:row>
      <xdr:rowOff>182520</xdr:rowOff>
    </xdr:to>
    <xdr:graphicFrame>
      <xdr:nvGraphicFramePr>
        <xdr:cNvPr id="1" name="Chart 2"/>
        <xdr:cNvGraphicFramePr/>
      </xdr:nvGraphicFramePr>
      <xdr:xfrm>
        <a:off x="7400880" y="3809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36</xdr:row>
      <xdr:rowOff>160560</xdr:rowOff>
    </xdr:from>
    <xdr:to>
      <xdr:col>15</xdr:col>
      <xdr:colOff>473040</xdr:colOff>
      <xdr:row>51</xdr:row>
      <xdr:rowOff>182880</xdr:rowOff>
    </xdr:to>
    <xdr:graphicFrame>
      <xdr:nvGraphicFramePr>
        <xdr:cNvPr id="2" name="Chart 3"/>
        <xdr:cNvGraphicFramePr/>
      </xdr:nvGraphicFramePr>
      <xdr:xfrm>
        <a:off x="7400880" y="7048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46328</v>
      </c>
      <c r="C4" s="2" t="s">
        <v>3</v>
      </c>
    </row>
    <row r="5" customFormat="false" ht="15" hidden="false" customHeight="false" outlineLevel="0" collapsed="false">
      <c r="A5" s="3" t="s">
        <v>4</v>
      </c>
      <c r="B5" s="4" t="n">
        <v>46522</v>
      </c>
      <c r="C5" s="2" t="s">
        <v>5</v>
      </c>
    </row>
    <row r="6" customFormat="false" ht="15" hidden="false" customHeight="false" outlineLevel="0" collapsed="false">
      <c r="A6" s="3" t="s">
        <v>6</v>
      </c>
      <c r="B6" s="5" t="n">
        <f aca="true">TODAY()</f>
        <v>46321</v>
      </c>
      <c r="C6" s="2"/>
    </row>
    <row r="7" customFormat="false" ht="15" hidden="false" customHeight="false" outlineLevel="0" collapsed="false">
      <c r="A7" s="3" t="s">
        <v>7</v>
      </c>
      <c r="B7" s="6" t="n">
        <v>90</v>
      </c>
      <c r="C7" s="2" t="s">
        <v>8</v>
      </c>
    </row>
    <row r="8" customFormat="false" ht="15" hidden="false" customHeight="false" outlineLevel="0" collapsed="false">
      <c r="A8" s="3" t="s">
        <v>9</v>
      </c>
      <c r="B8" s="7" t="n">
        <f aca="false">B7/60</f>
        <v>1.5</v>
      </c>
      <c r="C8" s="2"/>
    </row>
    <row r="9" customFormat="false" ht="15" hidden="false" customHeight="false" outlineLevel="0" collapsed="false">
      <c r="A9" s="3" t="s">
        <v>10</v>
      </c>
      <c r="B9" s="6" t="n">
        <v>7</v>
      </c>
      <c r="C9" s="2" t="s">
        <v>11</v>
      </c>
    </row>
    <row r="10" customFormat="false" ht="15" hidden="false" customHeight="false" outlineLevel="0" collapsed="false">
      <c r="A10" s="3" t="s">
        <v>12</v>
      </c>
      <c r="B10" s="6" t="n">
        <v>6</v>
      </c>
      <c r="C10" s="2" t="s">
        <v>13</v>
      </c>
    </row>
    <row r="11" customFormat="false" ht="15" hidden="false" customHeight="false" outlineLevel="0" collapsed="false">
      <c r="A11" s="3" t="s">
        <v>14</v>
      </c>
      <c r="B11" s="8" t="n">
        <v>0.979166666666667</v>
      </c>
      <c r="C11" s="2" t="s">
        <v>15</v>
      </c>
    </row>
    <row r="13" customFormat="false" ht="15" hidden="false" customHeight="false" outlineLevel="0" collapsed="false">
      <c r="A13" s="9" t="s">
        <v>16</v>
      </c>
    </row>
    <row r="14" customFormat="false" ht="15" hidden="false" customHeight="false" outlineLevel="0" collapsed="false">
      <c r="A14" s="3" t="s">
        <v>17</v>
      </c>
      <c r="B14" s="10" t="n">
        <f aca="false">IF(B6&lt;B4,0,MAX(1,MIN(29,INT((B6-B4)/7)+1)))</f>
        <v>0</v>
      </c>
    </row>
    <row r="15" customFormat="false" ht="15" hidden="false" customHeight="false" outlineLevel="0" collapsed="false">
      <c r="A15" s="3" t="s">
        <v>18</v>
      </c>
      <c r="B15" s="10" t="n">
        <f aca="false">MAX(0,B4-B6)</f>
        <v>7</v>
      </c>
    </row>
    <row r="16" customFormat="false" ht="15" hidden="false" customHeight="false" outlineLevel="0" collapsed="false">
      <c r="A16" s="3" t="s">
        <v>19</v>
      </c>
      <c r="B16" s="10" t="n">
        <f aca="false">MAX(0,B5-B6)</f>
        <v>201</v>
      </c>
    </row>
    <row r="17" customFormat="false" ht="15" hidden="false" customHeight="false" outlineLevel="0" collapsed="false">
      <c r="A17" s="3" t="s">
        <v>20</v>
      </c>
      <c r="B17" s="11" t="n">
        <f aca="false">SUMIFS(Diario!$F$6:$F$208,Diario!$B$6:$B$208,"&lt;"&amp;B6)</f>
        <v>0</v>
      </c>
    </row>
    <row r="18" customFormat="false" ht="15" hidden="false" customHeight="false" outlineLevel="0" collapsed="false">
      <c r="A18" s="3" t="s">
        <v>21</v>
      </c>
      <c r="B18" s="10" t="n">
        <f aca="false">SUM(Diario!$G$6:$G$208)</f>
        <v>0</v>
      </c>
    </row>
    <row r="19" customFormat="false" ht="15" hidden="false" customHeight="false" outlineLevel="0" collapsed="false">
      <c r="A19" s="3" t="s">
        <v>22</v>
      </c>
      <c r="B19" s="11" t="n">
        <f aca="false">MAX(0,B17-SUMIFS(Diario!$G$6:$G$208,Diario!$B$6:$B$208,"&lt;"&amp;B6))</f>
        <v>0</v>
      </c>
    </row>
    <row r="20" customFormat="false" ht="15" hidden="false" customHeight="false" outlineLevel="0" collapsed="false">
      <c r="A20" s="3" t="s">
        <v>23</v>
      </c>
      <c r="B20" s="11" t="n">
        <f aca="false">B18*B8</f>
        <v>0</v>
      </c>
    </row>
    <row r="21" customFormat="false" ht="15" hidden="false" customHeight="false" outlineLevel="0" collapsed="false">
      <c r="A21" s="3" t="s">
        <v>24</v>
      </c>
      <c r="B21" s="11" t="n">
        <f aca="false">SUM(Diario!$I$6:$I$208)/60</f>
        <v>0</v>
      </c>
    </row>
    <row r="22" customFormat="false" ht="15" hidden="false" customHeight="false" outlineLevel="0" collapsed="false">
      <c r="A22" s="3" t="s">
        <v>25</v>
      </c>
      <c r="B22" s="11" t="n">
        <f aca="false">B20+B21</f>
        <v>0</v>
      </c>
    </row>
    <row r="23" customFormat="false" ht="15" hidden="false" customHeight="false" outlineLevel="0" collapsed="false">
      <c r="A23" s="3" t="s">
        <v>26</v>
      </c>
      <c r="B23" s="12" t="str">
        <f aca="false">IF(B17=0,"",SUMIFS(Diario!$G$6:$G$208,Diario!$B$6:$B$208,"&lt;"&amp;B6)/B17)</f>
        <v/>
      </c>
    </row>
    <row r="24" customFormat="false" ht="15" hidden="false" customHeight="false" outlineLevel="0" collapsed="false">
      <c r="A24" s="3" t="s">
        <v>27</v>
      </c>
      <c r="B24" s="13" t="str">
        <f aca="false">IF(B17=0,"Sin datos aún",IF(B19&gt;B10,"CORRER CALENDARIO",IF(B19&gt;3,"ALERTA","EN RUTA")))</f>
        <v>Sin datos aún</v>
      </c>
    </row>
    <row r="26" customFormat="false" ht="15" hidden="false" customHeight="false" outlineLevel="0" collapsed="false">
      <c r="A26" s="9" t="s">
        <v>6</v>
      </c>
    </row>
    <row r="27" customFormat="false" ht="15" hidden="false" customHeight="false" outlineLevel="0" collapsed="false">
      <c r="A27" s="3" t="s">
        <v>28</v>
      </c>
      <c r="B27" s="11" t="str">
        <f aca="false">IFERROR(INDEX(Diario!$F$6:$F$208,MATCH(B6,Diario!$B$6:$B$208,0)),"—")</f>
        <v>—</v>
      </c>
    </row>
    <row r="28" customFormat="false" ht="15" hidden="false" customHeight="false" outlineLevel="0" collapsed="false">
      <c r="A28" s="3" t="s">
        <v>29</v>
      </c>
      <c r="B28" s="13" t="str">
        <f aca="false">IFERROR(INDEX(Diario!$E$6:$E$208,MATCH(B6,Diario!$B$6:$B$208,0)),"—")</f>
        <v>—</v>
      </c>
    </row>
    <row r="29" customFormat="false" ht="15" hidden="false" customHeight="false" outlineLevel="0" collapsed="false">
      <c r="A29" s="3" t="s">
        <v>30</v>
      </c>
      <c r="B29" s="13" t="str">
        <f aca="false">IFERROR(INDEX(Diario!$D$6:$D$208,MATCH(B6,Diario!$B$6:$B$208,0)),"—")</f>
        <v>—</v>
      </c>
    </row>
    <row r="30" customFormat="false" ht="15" hidden="false" customHeight="false" outlineLevel="0" collapsed="false">
      <c r="A30" s="3" t="s">
        <v>31</v>
      </c>
      <c r="B30" s="10" t="n">
        <f aca="false">COUNTIF(Errores!$K$6:$K$300,"Repasar (1)")+COUNTIF(Errores!$K$6:$K$300,"Repasar (2)")</f>
        <v>0</v>
      </c>
    </row>
    <row r="31" customFormat="false" ht="15" hidden="false" customHeight="false" outlineLevel="0" collapsed="false">
      <c r="A31" s="3" t="s">
        <v>32</v>
      </c>
      <c r="B31" s="12" t="str">
        <f aca="false">IFERROR(COUNTIFS(Diario!$M$6:$M$208,"Sí",Diario!$B$6:$B$208,"&gt;"&amp;B6-7,Diario!$B$6:$B$208,"&lt;="&amp;B6)/(COUNTIFS(Diario!$M$6:$M$208,"Sí",Diario!$B$6:$B$208,"&gt;"&amp;B6-7,Diario!$B$6:$B$208,"&lt;="&amp;B6)+COUNTIFS(Diario!$M$6:$M$208,"No",Diario!$B$6:$B$208,"&gt;"&amp;B6-7,Diario!$B$6:$B$208,"&lt;="&amp;B6)),"")</f>
        <v/>
      </c>
    </row>
    <row r="32" customFormat="false" ht="15" hidden="false" customHeight="false" outlineLevel="0" collapsed="false">
      <c r="A32" s="3" t="s">
        <v>33</v>
      </c>
      <c r="B32" s="10" t="n">
        <f aca="false">SUMIFS(Diario!$K$6:$K$208,Diario!$B$6:$B$208,"&gt;"&amp;B6-7,Diario!$B$6:$B$208,"&lt;="&amp;B6)</f>
        <v>0</v>
      </c>
    </row>
    <row r="33" customFormat="false" ht="15" hidden="false" customHeight="false" outlineLevel="0" collapsed="false">
      <c r="A33" s="3" t="s">
        <v>34</v>
      </c>
      <c r="B33" s="12" t="str">
        <f aca="false">IF(SUM(Lecturas!$H$6:$H$300)=0,"sin cargar",SUM(Lecturas!$I$6:$I$300)/SUM(Lecturas!$H$6:$H$300))</f>
        <v>sin cargar</v>
      </c>
    </row>
    <row r="34" customFormat="false" ht="15" hidden="false" customHeight="false" outlineLevel="0" collapsed="false">
      <c r="A34" s="3" t="s">
        <v>35</v>
      </c>
      <c r="B34" s="12" t="str">
        <f aca="false">IFERROR(AVERAGE(Registro!$D$6:$D$500),"")</f>
        <v/>
      </c>
    </row>
    <row r="36" customFormat="false" ht="15" hidden="false" customHeight="false" outlineLevel="0" collapsed="false">
      <c r="A36" s="9" t="s">
        <v>36</v>
      </c>
    </row>
    <row r="37" customFormat="false" ht="15" hidden="false" customHeight="false" outlineLevel="0" collapsed="false">
      <c r="A37" s="14" t="str">
        <f aca="false">IF(B24="CORRER CALENDARIO","Estás corriendo el calendario. Séneca: «No es que tengamos poco tiempo, sino que perdemos mucho». Cada bloque perdido es potencial sin usar: la charter te abre FP&amp;A senior, riesgo y portafolio. Hoy mismo recuperas 2 bloques y me avisas.",IF(B24="ALERTA","Vas atrasado, pero a tiempo. Marco Aurelio: «Lo que se interpone en el camino se convierte en el camino». Esta semana recupera hasta 3 bloques y no toques los de núcleo.",IF(B24="EN RUTA","En ruta. La disciplina de hoy es la libertad de tu yo de mayo. Sigue el plan, sin heroísmos.",IF(B15&gt;0,"Faltan "&amp;B15&amp;" días para partir. Usa la hoja Prearranque.","Parte registrando tu primer día en Diario."))))</f>
        <v>Faltan 7 días para partir. Usa la hoja Prearranque.</v>
      </c>
      <c r="B37" s="14"/>
      <c r="C37" s="14"/>
    </row>
    <row r="38" customFormat="false" ht="15" hidden="false" customHeight="false" outlineLevel="0" collapsed="false">
      <c r="A38" s="14"/>
      <c r="B38" s="14"/>
      <c r="C38" s="14"/>
    </row>
    <row r="39" customFormat="false" ht="15" hidden="false" customHeight="false" outlineLevel="0" collapsed="false">
      <c r="A39" s="14"/>
      <c r="B39" s="14"/>
      <c r="C39" s="14"/>
    </row>
    <row r="40" customFormat="false" ht="15" hidden="false" customHeight="false" outlineLevel="0" collapsed="false">
      <c r="A40" s="14"/>
      <c r="B40" s="14"/>
      <c r="C40" s="14"/>
    </row>
  </sheetData>
  <mergeCells count="1">
    <mergeCell ref="A37:C40"/>
  </mergeCells>
  <conditionalFormatting sqref="B24">
    <cfRule type="expression" priority="2" aboveAverage="0" equalAverage="0" bottom="0" percent="0" rank="0" text="" dxfId="0">
      <formula>$B$24="EN RUTA"</formula>
    </cfRule>
    <cfRule type="expression" priority="3" aboveAverage="0" equalAverage="0" bottom="0" percent="0" rank="0" text="" dxfId="1">
      <formula>$B$24="ALERTA"</formula>
    </cfRule>
    <cfRule type="expression" priority="4" aboveAverage="0" equalAverage="0" bottom="0" percent="0" rank="0" text="" dxfId="2">
      <formula>$B$24="CORRER CALENDARIO"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12" min="9" style="0" width="11"/>
    <col collapsed="false" customWidth="true" hidden="false" outlineLevel="0" max="13" min="13" style="0" width="9"/>
    <col collapsed="false" customWidth="true" hidden="false" outlineLevel="0" max="14" min="14" style="0" width="50"/>
    <col collapsed="false" customWidth="true" hidden="false" outlineLevel="0" max="15" min="15" style="0" width="3"/>
    <col collapsed="false" customWidth="true" hidden="false" outlineLevel="0" max="16" min="16" style="0" width="28"/>
    <col collapsed="false" customWidth="true" hidden="false" outlineLevel="0" max="17" min="17" style="0" width="12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5" customFormat="false" ht="23.85" hidden="false" customHeight="false" outlineLevel="0" collapsed="false">
      <c r="A5" s="15" t="s">
        <v>39</v>
      </c>
      <c r="B5" s="15" t="s">
        <v>40</v>
      </c>
      <c r="C5" s="15" t="s">
        <v>41</v>
      </c>
      <c r="D5" s="15" t="s">
        <v>30</v>
      </c>
      <c r="E5" s="15" t="s">
        <v>42</v>
      </c>
      <c r="F5" s="15" t="s">
        <v>43</v>
      </c>
      <c r="G5" s="15" t="s">
        <v>44</v>
      </c>
      <c r="H5" s="15" t="s">
        <v>45</v>
      </c>
      <c r="I5" s="15" t="s">
        <v>46</v>
      </c>
      <c r="J5" s="15" t="s">
        <v>47</v>
      </c>
      <c r="K5" s="15" t="s">
        <v>48</v>
      </c>
      <c r="L5" s="15" t="s">
        <v>49</v>
      </c>
      <c r="M5" s="15" t="s">
        <v>50</v>
      </c>
      <c r="N5" s="15" t="s">
        <v>51</v>
      </c>
      <c r="P5" s="16" t="s">
        <v>52</v>
      </c>
    </row>
    <row r="6" customFormat="false" ht="15" hidden="false" customHeight="false" outlineLevel="0" collapsed="false">
      <c r="A6" s="17" t="n">
        <f aca="false">INT((B6-Panel!$B$4)/7)+1</f>
        <v>1</v>
      </c>
      <c r="B6" s="5" t="n">
        <f aca="false">Panel!$B$4</f>
        <v>46328</v>
      </c>
      <c r="C6" s="17" t="str">
        <f aca="false">CHOOSE(WEEKDAY(B6,2),"Lun","Mar","Mié","Jue","Vie","Sáb","Dom")</f>
        <v>Lun</v>
      </c>
      <c r="D6" s="17" t="str">
        <f aca="false">INDEX(Calendario!$D$5:$D$33,A6)</f>
        <v>Quant</v>
      </c>
      <c r="E6" s="17" t="str">
        <f aca="false">INDEX(Rutina!$D$5:$D$11,WEEKDAY(B6,2))</f>
        <v>R</v>
      </c>
      <c r="F6" s="7" t="n">
        <f aca="false">IF(B6&gt;Panel!$B$5,0,MAX(0,INDEX(Rutina!$B$5:$B$11,WEEKDAY(B6,2))*(1-MIN(1,SUMPRODUCT((Eventos!$A$5:$A$40&lt;=B6)*(Eventos!$B$5:$B$40&gt;=B6)*Eventos!$D$5:$D$40)))+SUMPRODUCT((Eventos!$A$5:$A$40&lt;=B6)*(Eventos!$B$5:$B$40&gt;=B6)*Eventos!$E$5:$E$40)))</f>
        <v>1</v>
      </c>
      <c r="G6" s="18"/>
      <c r="H6" s="7" t="str">
        <f aca="false">IF(G6="","",G6*Panel!$B$8)</f>
        <v/>
      </c>
      <c r="I6" s="18"/>
      <c r="J6" s="18"/>
      <c r="K6" s="18"/>
      <c r="L6" s="8"/>
      <c r="M6" s="17" t="str">
        <f aca="false">IF(L6="","",IF(OR(WEEKDAY(B6,2)=5,WEEKDAY(B6,2)=6),"—",IF(AND(L6&gt;=0.5,L6&lt;=Panel!$B$11),"Sí","No")))</f>
        <v/>
      </c>
      <c r="N6" s="18"/>
      <c r="P6" s="19" t="s">
        <v>53</v>
      </c>
      <c r="Q6" s="20" t="n">
        <f aca="false">SUM(H6:H208)</f>
        <v>0</v>
      </c>
    </row>
    <row r="7" customFormat="false" ht="15" hidden="false" customHeight="false" outlineLevel="0" collapsed="false">
      <c r="A7" s="17" t="n">
        <f aca="false">INT((B7-Panel!$B$4)/7)+1</f>
        <v>1</v>
      </c>
      <c r="B7" s="5" t="n">
        <f aca="false">B6+1</f>
        <v>46329</v>
      </c>
      <c r="C7" s="17" t="str">
        <f aca="false">CHOOSE(WEEKDAY(B7,2),"Lun","Mar","Mié","Jue","Vie","Sáb","Dom")</f>
        <v>Mar</v>
      </c>
      <c r="D7" s="17" t="str">
        <f aca="false">INDEX(Calendario!$D$5:$D$33,A7)</f>
        <v>Quant</v>
      </c>
      <c r="E7" s="17" t="str">
        <f aca="false">INDEX(Rutina!$D$5:$D$11,WEEKDAY(B7,2))</f>
        <v>R</v>
      </c>
      <c r="F7" s="7" t="n">
        <f aca="false">IF(B7&gt;Panel!$B$5,0,MAX(0,INDEX(Rutina!$B$5:$B$11,WEEKDAY(B7,2))*(1-MIN(1,SUMPRODUCT((Eventos!$A$5:$A$40&lt;=B7)*(Eventos!$B$5:$B$40&gt;=B7)*Eventos!$D$5:$D$40)))+SUMPRODUCT((Eventos!$A$5:$A$40&lt;=B7)*(Eventos!$B$5:$B$40&gt;=B7)*Eventos!$E$5:$E$40)))</f>
        <v>1</v>
      </c>
      <c r="G7" s="18"/>
      <c r="H7" s="7" t="str">
        <f aca="false">IF(G7="","",G7*Panel!$B$8)</f>
        <v/>
      </c>
      <c r="I7" s="18"/>
      <c r="J7" s="18"/>
      <c r="K7" s="18"/>
      <c r="L7" s="8"/>
      <c r="M7" s="17" t="str">
        <f aca="false">IF(L7="","",IF(OR(WEEKDAY(B7,2)=5,WEEKDAY(B7,2)=6),"—",IF(AND(L7&gt;=0.5,L7&lt;=Panel!$B$11),"Sí","No")))</f>
        <v/>
      </c>
      <c r="N7" s="18"/>
      <c r="P7" s="19" t="s">
        <v>54</v>
      </c>
      <c r="Q7" s="21" t="n">
        <f aca="false">COUNTIF(G6:G208,"&gt;0")</f>
        <v>0</v>
      </c>
    </row>
    <row r="8" customFormat="false" ht="15" hidden="false" customHeight="false" outlineLevel="0" collapsed="false">
      <c r="A8" s="17" t="n">
        <f aca="false">INT((B8-Panel!$B$4)/7)+1</f>
        <v>1</v>
      </c>
      <c r="B8" s="5" t="n">
        <f aca="false">B7+1</f>
        <v>46330</v>
      </c>
      <c r="C8" s="17" t="str">
        <f aca="false">CHOOSE(WEEKDAY(B8,2),"Lun","Mar","Mié","Jue","Vie","Sáb","Dom")</f>
        <v>Mié</v>
      </c>
      <c r="D8" s="17" t="str">
        <f aca="false">INDEX(Calendario!$D$5:$D$33,A8)</f>
        <v>Quant</v>
      </c>
      <c r="E8" s="17" t="str">
        <f aca="false">INDEX(Rutina!$D$5:$D$11,WEEKDAY(B8,2))</f>
        <v>Q</v>
      </c>
      <c r="F8" s="7" t="n">
        <f aca="false">IF(B8&gt;Panel!$B$5,0,MAX(0,INDEX(Rutina!$B$5:$B$11,WEEKDAY(B8,2))*(1-MIN(1,SUMPRODUCT((Eventos!$A$5:$A$40&lt;=B8)*(Eventos!$B$5:$B$40&gt;=B8)*Eventos!$D$5:$D$40)))+SUMPRODUCT((Eventos!$A$5:$A$40&lt;=B8)*(Eventos!$B$5:$B$40&gt;=B8)*Eventos!$E$5:$E$40)))</f>
        <v>1</v>
      </c>
      <c r="G8" s="18"/>
      <c r="H8" s="7" t="str">
        <f aca="false">IF(G8="","",G8*Panel!$B$8)</f>
        <v/>
      </c>
      <c r="I8" s="18"/>
      <c r="J8" s="18"/>
      <c r="K8" s="18"/>
      <c r="L8" s="8"/>
      <c r="M8" s="17" t="str">
        <f aca="false">IF(L8="","",IF(OR(WEEKDAY(B8,2)=5,WEEKDAY(B8,2)=6),"—",IF(AND(L8&gt;=0.5,L8&lt;=Panel!$B$11),"Sí","No")))</f>
        <v/>
      </c>
      <c r="N8" s="18"/>
      <c r="P8" s="19" t="s">
        <v>55</v>
      </c>
      <c r="Q8" s="20" t="str">
        <f aca="false">IF(Q7=0,"",Q6/Q7)</f>
        <v/>
      </c>
    </row>
    <row r="9" customFormat="false" ht="15" hidden="false" customHeight="false" outlineLevel="0" collapsed="false">
      <c r="A9" s="17" t="n">
        <f aca="false">INT((B9-Panel!$B$4)/7)+1</f>
        <v>1</v>
      </c>
      <c r="B9" s="5" t="n">
        <f aca="false">B8+1</f>
        <v>46331</v>
      </c>
      <c r="C9" s="17" t="str">
        <f aca="false">CHOOSE(WEEKDAY(B9,2),"Lun","Mar","Mié","Jue","Vie","Sáb","Dom")</f>
        <v>Jue</v>
      </c>
      <c r="D9" s="17" t="str">
        <f aca="false">INDEX(Calendario!$D$5:$D$33,A9)</f>
        <v>Quant</v>
      </c>
      <c r="E9" s="17" t="str">
        <f aca="false">INDEX(Rutina!$D$5:$D$11,WEEKDAY(B9,2))</f>
        <v>Q</v>
      </c>
      <c r="F9" s="7" t="n">
        <f aca="false">IF(B9&gt;Panel!$B$5,0,MAX(0,INDEX(Rutina!$B$5:$B$11,WEEKDAY(B9,2))*(1-MIN(1,SUMPRODUCT((Eventos!$A$5:$A$40&lt;=B9)*(Eventos!$B$5:$B$40&gt;=B9)*Eventos!$D$5:$D$40)))+SUMPRODUCT((Eventos!$A$5:$A$40&lt;=B9)*(Eventos!$B$5:$B$40&gt;=B9)*Eventos!$E$5:$E$40)))</f>
        <v>1</v>
      </c>
      <c r="G9" s="18"/>
      <c r="H9" s="7" t="str">
        <f aca="false">IF(G9="","",G9*Panel!$B$8)</f>
        <v/>
      </c>
      <c r="I9" s="18"/>
      <c r="J9" s="18"/>
      <c r="K9" s="18"/>
      <c r="L9" s="8"/>
      <c r="M9" s="17" t="str">
        <f aca="false">IF(L9="","",IF(OR(WEEKDAY(B9,2)=5,WEEKDAY(B9,2)=6),"—",IF(AND(L9&gt;=0.5,L9&lt;=Panel!$B$11),"Sí","No")))</f>
        <v/>
      </c>
      <c r="N9" s="18"/>
      <c r="P9" s="19" t="s">
        <v>56</v>
      </c>
      <c r="Q9" s="21" t="n">
        <f aca="false">SUM(I6:I208)</f>
        <v>0</v>
      </c>
    </row>
    <row r="10" customFormat="false" ht="15" hidden="false" customHeight="false" outlineLevel="0" collapsed="false">
      <c r="A10" s="17" t="n">
        <f aca="false">INT((B10-Panel!$B$4)/7)+1</f>
        <v>1</v>
      </c>
      <c r="B10" s="5" t="n">
        <f aca="false">B9+1</f>
        <v>46332</v>
      </c>
      <c r="C10" s="17" t="str">
        <f aca="false">CHOOSE(WEEKDAY(B10,2),"Lun","Mar","Mié","Jue","Vie","Sáb","Dom")</f>
        <v>Vie</v>
      </c>
      <c r="D10" s="17" t="str">
        <f aca="false">INDEX(Calendario!$D$5:$D$33,A10)</f>
        <v>Quant</v>
      </c>
      <c r="E10" s="17" t="str">
        <f aca="false">INDEX(Rutina!$D$5:$D$11,WEEKDAY(B10,2))</f>
        <v>L + Q</v>
      </c>
      <c r="F10" s="7" t="n">
        <f aca="false">IF(B10&gt;Panel!$B$5,0,MAX(0,INDEX(Rutina!$B$5:$B$11,WEEKDAY(B10,2))*(1-MIN(1,SUMPRODUCT((Eventos!$A$5:$A$40&lt;=B10)*(Eventos!$B$5:$B$40&gt;=B10)*Eventos!$D$5:$D$40)))+SUMPRODUCT((Eventos!$A$5:$A$40&lt;=B10)*(Eventos!$B$5:$B$40&gt;=B10)*Eventos!$E$5:$E$40)))</f>
        <v>2</v>
      </c>
      <c r="G10" s="18"/>
      <c r="H10" s="7" t="str">
        <f aca="false">IF(G10="","",G10*Panel!$B$8)</f>
        <v/>
      </c>
      <c r="I10" s="18"/>
      <c r="J10" s="18"/>
      <c r="K10" s="18"/>
      <c r="L10" s="8"/>
      <c r="M10" s="17" t="str">
        <f aca="false">IF(L10="","",IF(OR(WEEKDAY(B10,2)=5,WEEKDAY(B10,2)=6),"—",IF(AND(L10&gt;=0.5,L10&lt;=Panel!$B$11),"Sí","No")))</f>
        <v/>
      </c>
      <c r="N10" s="18"/>
      <c r="P10" s="19" t="s">
        <v>57</v>
      </c>
      <c r="Q10" s="21" t="n">
        <f aca="false">SUM(J6:J208)</f>
        <v>0</v>
      </c>
    </row>
    <row r="11" customFormat="false" ht="15" hidden="false" customHeight="false" outlineLevel="0" collapsed="false">
      <c r="A11" s="17" t="n">
        <f aca="false">INT((B11-Panel!$B$4)/7)+1</f>
        <v>1</v>
      </c>
      <c r="B11" s="5" t="n">
        <f aca="false">B10+1</f>
        <v>46333</v>
      </c>
      <c r="C11" s="17" t="str">
        <f aca="false">CHOOSE(WEEKDAY(B11,2),"Lun","Mar","Mié","Jue","Vie","Sáb","Dom")</f>
        <v>Sáb</v>
      </c>
      <c r="D11" s="17" t="str">
        <f aca="false">INDEX(Calendario!$D$5:$D$33,A11)</f>
        <v>Quant</v>
      </c>
      <c r="E11" s="17" t="str">
        <f aca="false">INDEX(Rutina!$D$5:$D$11,WEEKDAY(B11,2))</f>
        <v>L + R</v>
      </c>
      <c r="F11" s="7" t="n">
        <f aca="false">IF(B11&gt;Panel!$B$5,0,MAX(0,INDEX(Rutina!$B$5:$B$11,WEEKDAY(B11,2))*(1-MIN(1,SUMPRODUCT((Eventos!$A$5:$A$40&lt;=B11)*(Eventos!$B$5:$B$40&gt;=B11)*Eventos!$D$5:$D$40)))+SUMPRODUCT((Eventos!$A$5:$A$40&lt;=B11)*(Eventos!$B$5:$B$40&gt;=B11)*Eventos!$E$5:$E$40)))</f>
        <v>2</v>
      </c>
      <c r="G11" s="18"/>
      <c r="H11" s="7" t="str">
        <f aca="false">IF(G11="","",G11*Panel!$B$8)</f>
        <v/>
      </c>
      <c r="I11" s="18"/>
      <c r="J11" s="18"/>
      <c r="K11" s="18"/>
      <c r="L11" s="8"/>
      <c r="M11" s="17" t="str">
        <f aca="false">IF(L11="","",IF(OR(WEEKDAY(B11,2)=5,WEEKDAY(B11,2)=6),"—",IF(AND(L11&gt;=0.5,L11&lt;=Panel!$B$11),"Sí","No")))</f>
        <v/>
      </c>
      <c r="N11" s="18"/>
      <c r="P11" s="19" t="s">
        <v>58</v>
      </c>
      <c r="Q11" s="21" t="n">
        <f aca="false">SUM(K6:K208)</f>
        <v>0</v>
      </c>
    </row>
    <row r="12" customFormat="false" ht="15" hidden="false" customHeight="false" outlineLevel="0" collapsed="false">
      <c r="A12" s="17" t="n">
        <f aca="false">INT((B12-Panel!$B$4)/7)+1</f>
        <v>1</v>
      </c>
      <c r="B12" s="5" t="n">
        <f aca="false">B11+1</f>
        <v>46334</v>
      </c>
      <c r="C12" s="17" t="str">
        <f aca="false">CHOOSE(WEEKDAY(B12,2),"Lun","Mar","Mié","Jue","Vie","Sáb","Dom")</f>
        <v>Dom</v>
      </c>
      <c r="D12" s="17" t="str">
        <f aca="false">INDEX(Calendario!$D$5:$D$33,A12)</f>
        <v>Quant</v>
      </c>
      <c r="E12" s="17" t="str">
        <f aca="false">INDEX(Rutina!$D$5:$D$11,WEEKDAY(B12,2))</f>
        <v>V + F</v>
      </c>
      <c r="F12" s="7" t="n">
        <f aca="false">IF(B12&gt;Panel!$B$5,0,MAX(0,INDEX(Rutina!$B$5:$B$11,WEEKDAY(B12,2))*(1-MIN(1,SUMPRODUCT((Eventos!$A$5:$A$40&lt;=B12)*(Eventos!$B$5:$B$40&gt;=B12)*Eventos!$D$5:$D$40)))+SUMPRODUCT((Eventos!$A$5:$A$40&lt;=B12)*(Eventos!$B$5:$B$40&gt;=B12)*Eventos!$E$5:$E$40)))</f>
        <v>2</v>
      </c>
      <c r="G12" s="18"/>
      <c r="H12" s="7" t="str">
        <f aca="false">IF(G12="","",G12*Panel!$B$8)</f>
        <v/>
      </c>
      <c r="I12" s="18"/>
      <c r="J12" s="18"/>
      <c r="K12" s="18"/>
      <c r="L12" s="8"/>
      <c r="M12" s="17" t="str">
        <f aca="false">IF(L12="","",IF(OR(WEEKDAY(B12,2)=5,WEEKDAY(B12,2)=6),"—",IF(AND(L12&gt;=0.5,L12&lt;=Panel!$B$11),"Sí","No")))</f>
        <v/>
      </c>
      <c r="N12" s="18"/>
    </row>
    <row r="13" customFormat="false" ht="15" hidden="false" customHeight="false" outlineLevel="0" collapsed="false">
      <c r="A13" s="17" t="n">
        <f aca="false">INT((B13-Panel!$B$4)/7)+1</f>
        <v>2</v>
      </c>
      <c r="B13" s="5" t="n">
        <f aca="false">B12+1</f>
        <v>46335</v>
      </c>
      <c r="C13" s="17" t="str">
        <f aca="false">CHOOSE(WEEKDAY(B13,2),"Lun","Mar","Mié","Jue","Vie","Sáb","Dom")</f>
        <v>Lun</v>
      </c>
      <c r="D13" s="17" t="str">
        <f aca="false">INDEX(Calendario!$D$5:$D$33,A13)</f>
        <v>Quant</v>
      </c>
      <c r="E13" s="17" t="str">
        <f aca="false">INDEX(Rutina!$D$5:$D$11,WEEKDAY(B13,2))</f>
        <v>R</v>
      </c>
      <c r="F13" s="7" t="n">
        <f aca="false">IF(B13&gt;Panel!$B$5,0,MAX(0,INDEX(Rutina!$B$5:$B$11,WEEKDAY(B13,2))*(1-MIN(1,SUMPRODUCT((Eventos!$A$5:$A$40&lt;=B13)*(Eventos!$B$5:$B$40&gt;=B13)*Eventos!$D$5:$D$40)))+SUMPRODUCT((Eventos!$A$5:$A$40&lt;=B13)*(Eventos!$B$5:$B$40&gt;=B13)*Eventos!$E$5:$E$40)))</f>
        <v>1</v>
      </c>
      <c r="G13" s="18"/>
      <c r="H13" s="7" t="str">
        <f aca="false">IF(G13="","",G13*Panel!$B$8)</f>
        <v/>
      </c>
      <c r="I13" s="18"/>
      <c r="J13" s="18"/>
      <c r="K13" s="18"/>
      <c r="L13" s="8"/>
      <c r="M13" s="17" t="str">
        <f aca="false">IF(L13="","",IF(OR(WEEKDAY(B13,2)=5,WEEKDAY(B13,2)=6),"—",IF(AND(L13&gt;=0.5,L13&lt;=Panel!$B$11),"Sí","No")))</f>
        <v/>
      </c>
      <c r="N13" s="18"/>
    </row>
    <row r="14" customFormat="false" ht="15" hidden="false" customHeight="false" outlineLevel="0" collapsed="false">
      <c r="A14" s="17" t="n">
        <f aca="false">INT((B14-Panel!$B$4)/7)+1</f>
        <v>2</v>
      </c>
      <c r="B14" s="5" t="n">
        <f aca="false">B13+1</f>
        <v>46336</v>
      </c>
      <c r="C14" s="17" t="str">
        <f aca="false">CHOOSE(WEEKDAY(B14,2),"Lun","Mar","Mié","Jue","Vie","Sáb","Dom")</f>
        <v>Mar</v>
      </c>
      <c r="D14" s="17" t="str">
        <f aca="false">INDEX(Calendario!$D$5:$D$33,A14)</f>
        <v>Quant</v>
      </c>
      <c r="E14" s="17" t="str">
        <f aca="false">INDEX(Rutina!$D$5:$D$11,WEEKDAY(B14,2))</f>
        <v>R</v>
      </c>
      <c r="F14" s="7" t="n">
        <f aca="false">IF(B14&gt;Panel!$B$5,0,MAX(0,INDEX(Rutina!$B$5:$B$11,WEEKDAY(B14,2))*(1-MIN(1,SUMPRODUCT((Eventos!$A$5:$A$40&lt;=B14)*(Eventos!$B$5:$B$40&gt;=B14)*Eventos!$D$5:$D$40)))+SUMPRODUCT((Eventos!$A$5:$A$40&lt;=B14)*(Eventos!$B$5:$B$40&gt;=B14)*Eventos!$E$5:$E$40)))</f>
        <v>1</v>
      </c>
      <c r="G14" s="18"/>
      <c r="H14" s="7" t="str">
        <f aca="false">IF(G14="","",G14*Panel!$B$8)</f>
        <v/>
      </c>
      <c r="I14" s="18"/>
      <c r="J14" s="18"/>
      <c r="K14" s="18"/>
      <c r="L14" s="8"/>
      <c r="M14" s="17" t="str">
        <f aca="false">IF(L14="","",IF(OR(WEEKDAY(B14,2)=5,WEEKDAY(B14,2)=6),"—",IF(AND(L14&gt;=0.5,L14&lt;=Panel!$B$11),"Sí","No")))</f>
        <v/>
      </c>
      <c r="N14" s="18"/>
    </row>
    <row r="15" customFormat="false" ht="15" hidden="false" customHeight="false" outlineLevel="0" collapsed="false">
      <c r="A15" s="17" t="n">
        <f aca="false">INT((B15-Panel!$B$4)/7)+1</f>
        <v>2</v>
      </c>
      <c r="B15" s="5" t="n">
        <f aca="false">B14+1</f>
        <v>46337</v>
      </c>
      <c r="C15" s="17" t="str">
        <f aca="false">CHOOSE(WEEKDAY(B15,2),"Lun","Mar","Mié","Jue","Vie","Sáb","Dom")</f>
        <v>Mié</v>
      </c>
      <c r="D15" s="17" t="str">
        <f aca="false">INDEX(Calendario!$D$5:$D$33,A15)</f>
        <v>Quant</v>
      </c>
      <c r="E15" s="17" t="str">
        <f aca="false">INDEX(Rutina!$D$5:$D$11,WEEKDAY(B15,2))</f>
        <v>Q</v>
      </c>
      <c r="F15" s="7" t="n">
        <f aca="false">IF(B15&gt;Panel!$B$5,0,MAX(0,INDEX(Rutina!$B$5:$B$11,WEEKDAY(B15,2))*(1-MIN(1,SUMPRODUCT((Eventos!$A$5:$A$40&lt;=B15)*(Eventos!$B$5:$B$40&gt;=B15)*Eventos!$D$5:$D$40)))+SUMPRODUCT((Eventos!$A$5:$A$40&lt;=B15)*(Eventos!$B$5:$B$40&gt;=B15)*Eventos!$E$5:$E$40)))</f>
        <v>1</v>
      </c>
      <c r="G15" s="18"/>
      <c r="H15" s="7" t="str">
        <f aca="false">IF(G15="","",G15*Panel!$B$8)</f>
        <v/>
      </c>
      <c r="I15" s="18"/>
      <c r="J15" s="18"/>
      <c r="K15" s="18"/>
      <c r="L15" s="8"/>
      <c r="M15" s="17" t="str">
        <f aca="false">IF(L15="","",IF(OR(WEEKDAY(B15,2)=5,WEEKDAY(B15,2)=6),"—",IF(AND(L15&gt;=0.5,L15&lt;=Panel!$B$11),"Sí","No")))</f>
        <v/>
      </c>
      <c r="N15" s="18"/>
    </row>
    <row r="16" customFormat="false" ht="15" hidden="false" customHeight="false" outlineLevel="0" collapsed="false">
      <c r="A16" s="17" t="n">
        <f aca="false">INT((B16-Panel!$B$4)/7)+1</f>
        <v>2</v>
      </c>
      <c r="B16" s="5" t="n">
        <f aca="false">B15+1</f>
        <v>46338</v>
      </c>
      <c r="C16" s="17" t="str">
        <f aca="false">CHOOSE(WEEKDAY(B16,2),"Lun","Mar","Mié","Jue","Vie","Sáb","Dom")</f>
        <v>Jue</v>
      </c>
      <c r="D16" s="17" t="str">
        <f aca="false">INDEX(Calendario!$D$5:$D$33,A16)</f>
        <v>Quant</v>
      </c>
      <c r="E16" s="17" t="str">
        <f aca="false">INDEX(Rutina!$D$5:$D$11,WEEKDAY(B16,2))</f>
        <v>Q</v>
      </c>
      <c r="F16" s="7" t="n">
        <f aca="false">IF(B16&gt;Panel!$B$5,0,MAX(0,INDEX(Rutina!$B$5:$B$11,WEEKDAY(B16,2))*(1-MIN(1,SUMPRODUCT((Eventos!$A$5:$A$40&lt;=B16)*(Eventos!$B$5:$B$40&gt;=B16)*Eventos!$D$5:$D$40)))+SUMPRODUCT((Eventos!$A$5:$A$40&lt;=B16)*(Eventos!$B$5:$B$40&gt;=B16)*Eventos!$E$5:$E$40)))</f>
        <v>1</v>
      </c>
      <c r="G16" s="18"/>
      <c r="H16" s="7" t="str">
        <f aca="false">IF(G16="","",G16*Panel!$B$8)</f>
        <v/>
      </c>
      <c r="I16" s="18"/>
      <c r="J16" s="18"/>
      <c r="K16" s="18"/>
      <c r="L16" s="8"/>
      <c r="M16" s="17" t="str">
        <f aca="false">IF(L16="","",IF(OR(WEEKDAY(B16,2)=5,WEEKDAY(B16,2)=6),"—",IF(AND(L16&gt;=0.5,L16&lt;=Panel!$B$11),"Sí","No")))</f>
        <v/>
      </c>
      <c r="N16" s="18"/>
    </row>
    <row r="17" customFormat="false" ht="15" hidden="false" customHeight="false" outlineLevel="0" collapsed="false">
      <c r="A17" s="17" t="n">
        <f aca="false">INT((B17-Panel!$B$4)/7)+1</f>
        <v>2</v>
      </c>
      <c r="B17" s="5" t="n">
        <f aca="false">B16+1</f>
        <v>46339</v>
      </c>
      <c r="C17" s="17" t="str">
        <f aca="false">CHOOSE(WEEKDAY(B17,2),"Lun","Mar","Mié","Jue","Vie","Sáb","Dom")</f>
        <v>Vie</v>
      </c>
      <c r="D17" s="17" t="str">
        <f aca="false">INDEX(Calendario!$D$5:$D$33,A17)</f>
        <v>Quant</v>
      </c>
      <c r="E17" s="17" t="str">
        <f aca="false">INDEX(Rutina!$D$5:$D$11,WEEKDAY(B17,2))</f>
        <v>L + Q</v>
      </c>
      <c r="F17" s="7" t="n">
        <f aca="false">IF(B17&gt;Panel!$B$5,0,MAX(0,INDEX(Rutina!$B$5:$B$11,WEEKDAY(B17,2))*(1-MIN(1,SUMPRODUCT((Eventos!$A$5:$A$40&lt;=B17)*(Eventos!$B$5:$B$40&gt;=B17)*Eventos!$D$5:$D$40)))+SUMPRODUCT((Eventos!$A$5:$A$40&lt;=B17)*(Eventos!$B$5:$B$40&gt;=B17)*Eventos!$E$5:$E$40)))</f>
        <v>2</v>
      </c>
      <c r="G17" s="18"/>
      <c r="H17" s="7" t="str">
        <f aca="false">IF(G17="","",G17*Panel!$B$8)</f>
        <v/>
      </c>
      <c r="I17" s="18"/>
      <c r="J17" s="18"/>
      <c r="K17" s="18"/>
      <c r="L17" s="8"/>
      <c r="M17" s="17" t="str">
        <f aca="false">IF(L17="","",IF(OR(WEEKDAY(B17,2)=5,WEEKDAY(B17,2)=6),"—",IF(AND(L17&gt;=0.5,L17&lt;=Panel!$B$11),"Sí","No")))</f>
        <v/>
      </c>
      <c r="N17" s="18"/>
    </row>
    <row r="18" customFormat="false" ht="15" hidden="false" customHeight="false" outlineLevel="0" collapsed="false">
      <c r="A18" s="17" t="n">
        <f aca="false">INT((B18-Panel!$B$4)/7)+1</f>
        <v>2</v>
      </c>
      <c r="B18" s="5" t="n">
        <f aca="false">B17+1</f>
        <v>46340</v>
      </c>
      <c r="C18" s="17" t="str">
        <f aca="false">CHOOSE(WEEKDAY(B18,2),"Lun","Mar","Mié","Jue","Vie","Sáb","Dom")</f>
        <v>Sáb</v>
      </c>
      <c r="D18" s="17" t="str">
        <f aca="false">INDEX(Calendario!$D$5:$D$33,A18)</f>
        <v>Quant</v>
      </c>
      <c r="E18" s="17" t="str">
        <f aca="false">INDEX(Rutina!$D$5:$D$11,WEEKDAY(B18,2))</f>
        <v>L + R</v>
      </c>
      <c r="F18" s="7" t="n">
        <f aca="false">IF(B18&gt;Panel!$B$5,0,MAX(0,INDEX(Rutina!$B$5:$B$11,WEEKDAY(B18,2))*(1-MIN(1,SUMPRODUCT((Eventos!$A$5:$A$40&lt;=B18)*(Eventos!$B$5:$B$40&gt;=B18)*Eventos!$D$5:$D$40)))+SUMPRODUCT((Eventos!$A$5:$A$40&lt;=B18)*(Eventos!$B$5:$B$40&gt;=B18)*Eventos!$E$5:$E$40)))</f>
        <v>2</v>
      </c>
      <c r="G18" s="18"/>
      <c r="H18" s="7" t="str">
        <f aca="false">IF(G18="","",G18*Panel!$B$8)</f>
        <v/>
      </c>
      <c r="I18" s="18"/>
      <c r="J18" s="18"/>
      <c r="K18" s="18"/>
      <c r="L18" s="8"/>
      <c r="M18" s="17" t="str">
        <f aca="false">IF(L18="","",IF(OR(WEEKDAY(B18,2)=5,WEEKDAY(B18,2)=6),"—",IF(AND(L18&gt;=0.5,L18&lt;=Panel!$B$11),"Sí","No")))</f>
        <v/>
      </c>
      <c r="N18" s="18"/>
    </row>
    <row r="19" customFormat="false" ht="15" hidden="false" customHeight="false" outlineLevel="0" collapsed="false">
      <c r="A19" s="17" t="n">
        <f aca="false">INT((B19-Panel!$B$4)/7)+1</f>
        <v>2</v>
      </c>
      <c r="B19" s="5" t="n">
        <f aca="false">B18+1</f>
        <v>46341</v>
      </c>
      <c r="C19" s="17" t="str">
        <f aca="false">CHOOSE(WEEKDAY(B19,2),"Lun","Mar","Mié","Jue","Vie","Sáb","Dom")</f>
        <v>Dom</v>
      </c>
      <c r="D19" s="17" t="str">
        <f aca="false">INDEX(Calendario!$D$5:$D$33,A19)</f>
        <v>Quant</v>
      </c>
      <c r="E19" s="17" t="str">
        <f aca="false">INDEX(Rutina!$D$5:$D$11,WEEKDAY(B19,2))</f>
        <v>V + F</v>
      </c>
      <c r="F19" s="7" t="n">
        <f aca="false">IF(B19&gt;Panel!$B$5,0,MAX(0,INDEX(Rutina!$B$5:$B$11,WEEKDAY(B19,2))*(1-MIN(1,SUMPRODUCT((Eventos!$A$5:$A$40&lt;=B19)*(Eventos!$B$5:$B$40&gt;=B19)*Eventos!$D$5:$D$40)))+SUMPRODUCT((Eventos!$A$5:$A$40&lt;=B19)*(Eventos!$B$5:$B$40&gt;=B19)*Eventos!$E$5:$E$40)))</f>
        <v>2</v>
      </c>
      <c r="G19" s="18"/>
      <c r="H19" s="7" t="str">
        <f aca="false">IF(G19="","",G19*Panel!$B$8)</f>
        <v/>
      </c>
      <c r="I19" s="18"/>
      <c r="J19" s="18"/>
      <c r="K19" s="18"/>
      <c r="L19" s="8"/>
      <c r="M19" s="17" t="str">
        <f aca="false">IF(L19="","",IF(OR(WEEKDAY(B19,2)=5,WEEKDAY(B19,2)=6),"—",IF(AND(L19&gt;=0.5,L19&lt;=Panel!$B$11),"Sí","No")))</f>
        <v/>
      </c>
      <c r="N19" s="18"/>
    </row>
    <row r="20" customFormat="false" ht="15" hidden="false" customHeight="false" outlineLevel="0" collapsed="false">
      <c r="A20" s="17" t="n">
        <f aca="false">INT((B20-Panel!$B$4)/7)+1</f>
        <v>3</v>
      </c>
      <c r="B20" s="5" t="n">
        <f aca="false">B19+1</f>
        <v>46342</v>
      </c>
      <c r="C20" s="17" t="str">
        <f aca="false">CHOOSE(WEEKDAY(B20,2),"Lun","Mar","Mié","Jue","Vie","Sáb","Dom")</f>
        <v>Lun</v>
      </c>
      <c r="D20" s="17" t="str">
        <f aca="false">INDEX(Calendario!$D$5:$D$33,A20)</f>
        <v>Economía</v>
      </c>
      <c r="E20" s="17" t="str">
        <f aca="false">INDEX(Rutina!$D$5:$D$11,WEEKDAY(B20,2))</f>
        <v>R</v>
      </c>
      <c r="F20" s="7" t="n">
        <f aca="false">IF(B20&gt;Panel!$B$5,0,MAX(0,INDEX(Rutina!$B$5:$B$11,WEEKDAY(B20,2))*(1-MIN(1,SUMPRODUCT((Eventos!$A$5:$A$40&lt;=B20)*(Eventos!$B$5:$B$40&gt;=B20)*Eventos!$D$5:$D$40)))+SUMPRODUCT((Eventos!$A$5:$A$40&lt;=B20)*(Eventos!$B$5:$B$40&gt;=B20)*Eventos!$E$5:$E$40)))</f>
        <v>1</v>
      </c>
      <c r="G20" s="18"/>
      <c r="H20" s="7" t="str">
        <f aca="false">IF(G20="","",G20*Panel!$B$8)</f>
        <v/>
      </c>
      <c r="I20" s="18"/>
      <c r="J20" s="18"/>
      <c r="K20" s="18"/>
      <c r="L20" s="8"/>
      <c r="M20" s="17" t="str">
        <f aca="false">IF(L20="","",IF(OR(WEEKDAY(B20,2)=5,WEEKDAY(B20,2)=6),"—",IF(AND(L20&gt;=0.5,L20&lt;=Panel!$B$11),"Sí","No")))</f>
        <v/>
      </c>
      <c r="N20" s="18"/>
    </row>
    <row r="21" customFormat="false" ht="15" hidden="false" customHeight="false" outlineLevel="0" collapsed="false">
      <c r="A21" s="17" t="n">
        <f aca="false">INT((B21-Panel!$B$4)/7)+1</f>
        <v>3</v>
      </c>
      <c r="B21" s="5" t="n">
        <f aca="false">B20+1</f>
        <v>46343</v>
      </c>
      <c r="C21" s="17" t="str">
        <f aca="false">CHOOSE(WEEKDAY(B21,2),"Lun","Mar","Mié","Jue","Vie","Sáb","Dom")</f>
        <v>Mar</v>
      </c>
      <c r="D21" s="17" t="str">
        <f aca="false">INDEX(Calendario!$D$5:$D$33,A21)</f>
        <v>Economía</v>
      </c>
      <c r="E21" s="17" t="str">
        <f aca="false">INDEX(Rutina!$D$5:$D$11,WEEKDAY(B21,2))</f>
        <v>R</v>
      </c>
      <c r="F21" s="7" t="n">
        <f aca="false">IF(B21&gt;Panel!$B$5,0,MAX(0,INDEX(Rutina!$B$5:$B$11,WEEKDAY(B21,2))*(1-MIN(1,SUMPRODUCT((Eventos!$A$5:$A$40&lt;=B21)*(Eventos!$B$5:$B$40&gt;=B21)*Eventos!$D$5:$D$40)))+SUMPRODUCT((Eventos!$A$5:$A$40&lt;=B21)*(Eventos!$B$5:$B$40&gt;=B21)*Eventos!$E$5:$E$40)))</f>
        <v>1</v>
      </c>
      <c r="G21" s="18"/>
      <c r="H21" s="7" t="str">
        <f aca="false">IF(G21="","",G21*Panel!$B$8)</f>
        <v/>
      </c>
      <c r="I21" s="18"/>
      <c r="J21" s="18"/>
      <c r="K21" s="18"/>
      <c r="L21" s="8"/>
      <c r="M21" s="17" t="str">
        <f aca="false">IF(L21="","",IF(OR(WEEKDAY(B21,2)=5,WEEKDAY(B21,2)=6),"—",IF(AND(L21&gt;=0.5,L21&lt;=Panel!$B$11),"Sí","No")))</f>
        <v/>
      </c>
      <c r="N21" s="18"/>
    </row>
    <row r="22" customFormat="false" ht="15" hidden="false" customHeight="false" outlineLevel="0" collapsed="false">
      <c r="A22" s="17" t="n">
        <f aca="false">INT((B22-Panel!$B$4)/7)+1</f>
        <v>3</v>
      </c>
      <c r="B22" s="5" t="n">
        <f aca="false">B21+1</f>
        <v>46344</v>
      </c>
      <c r="C22" s="17" t="str">
        <f aca="false">CHOOSE(WEEKDAY(B22,2),"Lun","Mar","Mié","Jue","Vie","Sáb","Dom")</f>
        <v>Mié</v>
      </c>
      <c r="D22" s="17" t="str">
        <f aca="false">INDEX(Calendario!$D$5:$D$33,A22)</f>
        <v>Economía</v>
      </c>
      <c r="E22" s="17" t="str">
        <f aca="false">INDEX(Rutina!$D$5:$D$11,WEEKDAY(B22,2))</f>
        <v>Q</v>
      </c>
      <c r="F22" s="7" t="n">
        <f aca="false">IF(B22&gt;Panel!$B$5,0,MAX(0,INDEX(Rutina!$B$5:$B$11,WEEKDAY(B22,2))*(1-MIN(1,SUMPRODUCT((Eventos!$A$5:$A$40&lt;=B22)*(Eventos!$B$5:$B$40&gt;=B22)*Eventos!$D$5:$D$40)))+SUMPRODUCT((Eventos!$A$5:$A$40&lt;=B22)*(Eventos!$B$5:$B$40&gt;=B22)*Eventos!$E$5:$E$40)))</f>
        <v>1</v>
      </c>
      <c r="G22" s="18"/>
      <c r="H22" s="7" t="str">
        <f aca="false">IF(G22="","",G22*Panel!$B$8)</f>
        <v/>
      </c>
      <c r="I22" s="18"/>
      <c r="J22" s="18"/>
      <c r="K22" s="18"/>
      <c r="L22" s="8"/>
      <c r="M22" s="17" t="str">
        <f aca="false">IF(L22="","",IF(OR(WEEKDAY(B22,2)=5,WEEKDAY(B22,2)=6),"—",IF(AND(L22&gt;=0.5,L22&lt;=Panel!$B$11),"Sí","No")))</f>
        <v/>
      </c>
      <c r="N22" s="18"/>
    </row>
    <row r="23" customFormat="false" ht="15" hidden="false" customHeight="false" outlineLevel="0" collapsed="false">
      <c r="A23" s="17" t="n">
        <f aca="false">INT((B23-Panel!$B$4)/7)+1</f>
        <v>3</v>
      </c>
      <c r="B23" s="5" t="n">
        <f aca="false">B22+1</f>
        <v>46345</v>
      </c>
      <c r="C23" s="17" t="str">
        <f aca="false">CHOOSE(WEEKDAY(B23,2),"Lun","Mar","Mié","Jue","Vie","Sáb","Dom")</f>
        <v>Jue</v>
      </c>
      <c r="D23" s="17" t="str">
        <f aca="false">INDEX(Calendario!$D$5:$D$33,A23)</f>
        <v>Economía</v>
      </c>
      <c r="E23" s="17" t="str">
        <f aca="false">INDEX(Rutina!$D$5:$D$11,WEEKDAY(B23,2))</f>
        <v>Q</v>
      </c>
      <c r="F23" s="7" t="n">
        <f aca="false">IF(B23&gt;Panel!$B$5,0,MAX(0,INDEX(Rutina!$B$5:$B$11,WEEKDAY(B23,2))*(1-MIN(1,SUMPRODUCT((Eventos!$A$5:$A$40&lt;=B23)*(Eventos!$B$5:$B$40&gt;=B23)*Eventos!$D$5:$D$40)))+SUMPRODUCT((Eventos!$A$5:$A$40&lt;=B23)*(Eventos!$B$5:$B$40&gt;=B23)*Eventos!$E$5:$E$40)))</f>
        <v>1</v>
      </c>
      <c r="G23" s="18"/>
      <c r="H23" s="7" t="str">
        <f aca="false">IF(G23="","",G23*Panel!$B$8)</f>
        <v/>
      </c>
      <c r="I23" s="18"/>
      <c r="J23" s="18"/>
      <c r="K23" s="18"/>
      <c r="L23" s="8"/>
      <c r="M23" s="17" t="str">
        <f aca="false">IF(L23="","",IF(OR(WEEKDAY(B23,2)=5,WEEKDAY(B23,2)=6),"—",IF(AND(L23&gt;=0.5,L23&lt;=Panel!$B$11),"Sí","No")))</f>
        <v/>
      </c>
      <c r="N23" s="18"/>
    </row>
    <row r="24" customFormat="false" ht="15" hidden="false" customHeight="false" outlineLevel="0" collapsed="false">
      <c r="A24" s="17" t="n">
        <f aca="false">INT((B24-Panel!$B$4)/7)+1</f>
        <v>3</v>
      </c>
      <c r="B24" s="5" t="n">
        <f aca="false">B23+1</f>
        <v>46346</v>
      </c>
      <c r="C24" s="17" t="str">
        <f aca="false">CHOOSE(WEEKDAY(B24,2),"Lun","Mar","Mié","Jue","Vie","Sáb","Dom")</f>
        <v>Vie</v>
      </c>
      <c r="D24" s="17" t="str">
        <f aca="false">INDEX(Calendario!$D$5:$D$33,A24)</f>
        <v>Economía</v>
      </c>
      <c r="E24" s="17" t="str">
        <f aca="false">INDEX(Rutina!$D$5:$D$11,WEEKDAY(B24,2))</f>
        <v>L + Q</v>
      </c>
      <c r="F24" s="7" t="n">
        <f aca="false">IF(B24&gt;Panel!$B$5,0,MAX(0,INDEX(Rutina!$B$5:$B$11,WEEKDAY(B24,2))*(1-MIN(1,SUMPRODUCT((Eventos!$A$5:$A$40&lt;=B24)*(Eventos!$B$5:$B$40&gt;=B24)*Eventos!$D$5:$D$40)))+SUMPRODUCT((Eventos!$A$5:$A$40&lt;=B24)*(Eventos!$B$5:$B$40&gt;=B24)*Eventos!$E$5:$E$40)))</f>
        <v>2</v>
      </c>
      <c r="G24" s="18"/>
      <c r="H24" s="7" t="str">
        <f aca="false">IF(G24="","",G24*Panel!$B$8)</f>
        <v/>
      </c>
      <c r="I24" s="18"/>
      <c r="J24" s="18"/>
      <c r="K24" s="18"/>
      <c r="L24" s="8"/>
      <c r="M24" s="17" t="str">
        <f aca="false">IF(L24="","",IF(OR(WEEKDAY(B24,2)=5,WEEKDAY(B24,2)=6),"—",IF(AND(L24&gt;=0.5,L24&lt;=Panel!$B$11),"Sí","No")))</f>
        <v/>
      </c>
      <c r="N24" s="18"/>
    </row>
    <row r="25" customFormat="false" ht="15" hidden="false" customHeight="false" outlineLevel="0" collapsed="false">
      <c r="A25" s="17" t="n">
        <f aca="false">INT((B25-Panel!$B$4)/7)+1</f>
        <v>3</v>
      </c>
      <c r="B25" s="5" t="n">
        <f aca="false">B24+1</f>
        <v>46347</v>
      </c>
      <c r="C25" s="17" t="str">
        <f aca="false">CHOOSE(WEEKDAY(B25,2),"Lun","Mar","Mié","Jue","Vie","Sáb","Dom")</f>
        <v>Sáb</v>
      </c>
      <c r="D25" s="17" t="str">
        <f aca="false">INDEX(Calendario!$D$5:$D$33,A25)</f>
        <v>Economía</v>
      </c>
      <c r="E25" s="17" t="str">
        <f aca="false">INDEX(Rutina!$D$5:$D$11,WEEKDAY(B25,2))</f>
        <v>L + R</v>
      </c>
      <c r="F25" s="7" t="n">
        <f aca="false">IF(B25&gt;Panel!$B$5,0,MAX(0,INDEX(Rutina!$B$5:$B$11,WEEKDAY(B25,2))*(1-MIN(1,SUMPRODUCT((Eventos!$A$5:$A$40&lt;=B25)*(Eventos!$B$5:$B$40&gt;=B25)*Eventos!$D$5:$D$40)))+SUMPRODUCT((Eventos!$A$5:$A$40&lt;=B25)*(Eventos!$B$5:$B$40&gt;=B25)*Eventos!$E$5:$E$40)))</f>
        <v>2</v>
      </c>
      <c r="G25" s="18"/>
      <c r="H25" s="7" t="str">
        <f aca="false">IF(G25="","",G25*Panel!$B$8)</f>
        <v/>
      </c>
      <c r="I25" s="18"/>
      <c r="J25" s="18"/>
      <c r="K25" s="18"/>
      <c r="L25" s="8"/>
      <c r="M25" s="17" t="str">
        <f aca="false">IF(L25="","",IF(OR(WEEKDAY(B25,2)=5,WEEKDAY(B25,2)=6),"—",IF(AND(L25&gt;=0.5,L25&lt;=Panel!$B$11),"Sí","No")))</f>
        <v/>
      </c>
      <c r="N25" s="18"/>
    </row>
    <row r="26" customFormat="false" ht="15" hidden="false" customHeight="false" outlineLevel="0" collapsed="false">
      <c r="A26" s="17" t="n">
        <f aca="false">INT((B26-Panel!$B$4)/7)+1</f>
        <v>3</v>
      </c>
      <c r="B26" s="5" t="n">
        <f aca="false">B25+1</f>
        <v>46348</v>
      </c>
      <c r="C26" s="17" t="str">
        <f aca="false">CHOOSE(WEEKDAY(B26,2),"Lun","Mar","Mié","Jue","Vie","Sáb","Dom")</f>
        <v>Dom</v>
      </c>
      <c r="D26" s="17" t="str">
        <f aca="false">INDEX(Calendario!$D$5:$D$33,A26)</f>
        <v>Economía</v>
      </c>
      <c r="E26" s="17" t="str">
        <f aca="false">INDEX(Rutina!$D$5:$D$11,WEEKDAY(B26,2))</f>
        <v>V + F</v>
      </c>
      <c r="F26" s="7" t="n">
        <f aca="false">IF(B26&gt;Panel!$B$5,0,MAX(0,INDEX(Rutina!$B$5:$B$11,WEEKDAY(B26,2))*(1-MIN(1,SUMPRODUCT((Eventos!$A$5:$A$40&lt;=B26)*(Eventos!$B$5:$B$40&gt;=B26)*Eventos!$D$5:$D$40)))+SUMPRODUCT((Eventos!$A$5:$A$40&lt;=B26)*(Eventos!$B$5:$B$40&gt;=B26)*Eventos!$E$5:$E$40)))</f>
        <v>2</v>
      </c>
      <c r="G26" s="18"/>
      <c r="H26" s="7" t="str">
        <f aca="false">IF(G26="","",G26*Panel!$B$8)</f>
        <v/>
      </c>
      <c r="I26" s="18"/>
      <c r="J26" s="18"/>
      <c r="K26" s="18"/>
      <c r="L26" s="8"/>
      <c r="M26" s="17" t="str">
        <f aca="false">IF(L26="","",IF(OR(WEEKDAY(B26,2)=5,WEEKDAY(B26,2)=6),"—",IF(AND(L26&gt;=0.5,L26&lt;=Panel!$B$11),"Sí","No")))</f>
        <v/>
      </c>
      <c r="N26" s="18"/>
    </row>
    <row r="27" customFormat="false" ht="15" hidden="false" customHeight="false" outlineLevel="0" collapsed="false">
      <c r="A27" s="17" t="n">
        <f aca="false">INT((B27-Panel!$B$4)/7)+1</f>
        <v>4</v>
      </c>
      <c r="B27" s="5" t="n">
        <f aca="false">B26+1</f>
        <v>46349</v>
      </c>
      <c r="C27" s="17" t="str">
        <f aca="false">CHOOSE(WEEKDAY(B27,2),"Lun","Mar","Mié","Jue","Vie","Sáb","Dom")</f>
        <v>Lun</v>
      </c>
      <c r="D27" s="17" t="str">
        <f aca="false">INDEX(Calendario!$D$5:$D$33,A27)</f>
        <v>Economía</v>
      </c>
      <c r="E27" s="17" t="str">
        <f aca="false">INDEX(Rutina!$D$5:$D$11,WEEKDAY(B27,2))</f>
        <v>R</v>
      </c>
      <c r="F27" s="7" t="n">
        <f aca="false">IF(B27&gt;Panel!$B$5,0,MAX(0,INDEX(Rutina!$B$5:$B$11,WEEKDAY(B27,2))*(1-MIN(1,SUMPRODUCT((Eventos!$A$5:$A$40&lt;=B27)*(Eventos!$B$5:$B$40&gt;=B27)*Eventos!$D$5:$D$40)))+SUMPRODUCT((Eventos!$A$5:$A$40&lt;=B27)*(Eventos!$B$5:$B$40&gt;=B27)*Eventos!$E$5:$E$40)))</f>
        <v>1</v>
      </c>
      <c r="G27" s="18"/>
      <c r="H27" s="7" t="str">
        <f aca="false">IF(G27="","",G27*Panel!$B$8)</f>
        <v/>
      </c>
      <c r="I27" s="18"/>
      <c r="J27" s="18"/>
      <c r="K27" s="18"/>
      <c r="L27" s="8"/>
      <c r="M27" s="17" t="str">
        <f aca="false">IF(L27="","",IF(OR(WEEKDAY(B27,2)=5,WEEKDAY(B27,2)=6),"—",IF(AND(L27&gt;=0.5,L27&lt;=Panel!$B$11),"Sí","No")))</f>
        <v/>
      </c>
      <c r="N27" s="18"/>
    </row>
    <row r="28" customFormat="false" ht="15" hidden="false" customHeight="false" outlineLevel="0" collapsed="false">
      <c r="A28" s="17" t="n">
        <f aca="false">INT((B28-Panel!$B$4)/7)+1</f>
        <v>4</v>
      </c>
      <c r="B28" s="5" t="n">
        <f aca="false">B27+1</f>
        <v>46350</v>
      </c>
      <c r="C28" s="17" t="str">
        <f aca="false">CHOOSE(WEEKDAY(B28,2),"Lun","Mar","Mié","Jue","Vie","Sáb","Dom")</f>
        <v>Mar</v>
      </c>
      <c r="D28" s="17" t="str">
        <f aca="false">INDEX(Calendario!$D$5:$D$33,A28)</f>
        <v>Economía</v>
      </c>
      <c r="E28" s="17" t="str">
        <f aca="false">INDEX(Rutina!$D$5:$D$11,WEEKDAY(B28,2))</f>
        <v>R</v>
      </c>
      <c r="F28" s="7" t="n">
        <f aca="false">IF(B28&gt;Panel!$B$5,0,MAX(0,INDEX(Rutina!$B$5:$B$11,WEEKDAY(B28,2))*(1-MIN(1,SUMPRODUCT((Eventos!$A$5:$A$40&lt;=B28)*(Eventos!$B$5:$B$40&gt;=B28)*Eventos!$D$5:$D$40)))+SUMPRODUCT((Eventos!$A$5:$A$40&lt;=B28)*(Eventos!$B$5:$B$40&gt;=B28)*Eventos!$E$5:$E$40)))</f>
        <v>1</v>
      </c>
      <c r="G28" s="18"/>
      <c r="H28" s="7" t="str">
        <f aca="false">IF(G28="","",G28*Panel!$B$8)</f>
        <v/>
      </c>
      <c r="I28" s="18"/>
      <c r="J28" s="18"/>
      <c r="K28" s="18"/>
      <c r="L28" s="8"/>
      <c r="M28" s="17" t="str">
        <f aca="false">IF(L28="","",IF(OR(WEEKDAY(B28,2)=5,WEEKDAY(B28,2)=6),"—",IF(AND(L28&gt;=0.5,L28&lt;=Panel!$B$11),"Sí","No")))</f>
        <v/>
      </c>
      <c r="N28" s="18"/>
    </row>
    <row r="29" customFormat="false" ht="15" hidden="false" customHeight="false" outlineLevel="0" collapsed="false">
      <c r="A29" s="17" t="n">
        <f aca="false">INT((B29-Panel!$B$4)/7)+1</f>
        <v>4</v>
      </c>
      <c r="B29" s="5" t="n">
        <f aca="false">B28+1</f>
        <v>46351</v>
      </c>
      <c r="C29" s="17" t="str">
        <f aca="false">CHOOSE(WEEKDAY(B29,2),"Lun","Mar","Mié","Jue","Vie","Sáb","Dom")</f>
        <v>Mié</v>
      </c>
      <c r="D29" s="17" t="str">
        <f aca="false">INDEX(Calendario!$D$5:$D$33,A29)</f>
        <v>Economía</v>
      </c>
      <c r="E29" s="17" t="str">
        <f aca="false">INDEX(Rutina!$D$5:$D$11,WEEKDAY(B29,2))</f>
        <v>Q</v>
      </c>
      <c r="F29" s="7" t="n">
        <f aca="false">IF(B29&gt;Panel!$B$5,0,MAX(0,INDEX(Rutina!$B$5:$B$11,WEEKDAY(B29,2))*(1-MIN(1,SUMPRODUCT((Eventos!$A$5:$A$40&lt;=B29)*(Eventos!$B$5:$B$40&gt;=B29)*Eventos!$D$5:$D$40)))+SUMPRODUCT((Eventos!$A$5:$A$40&lt;=B29)*(Eventos!$B$5:$B$40&gt;=B29)*Eventos!$E$5:$E$40)))</f>
        <v>1</v>
      </c>
      <c r="G29" s="18"/>
      <c r="H29" s="7" t="str">
        <f aca="false">IF(G29="","",G29*Panel!$B$8)</f>
        <v/>
      </c>
      <c r="I29" s="18"/>
      <c r="J29" s="18"/>
      <c r="K29" s="18"/>
      <c r="L29" s="8"/>
      <c r="M29" s="17" t="str">
        <f aca="false">IF(L29="","",IF(OR(WEEKDAY(B29,2)=5,WEEKDAY(B29,2)=6),"—",IF(AND(L29&gt;=0.5,L29&lt;=Panel!$B$11),"Sí","No")))</f>
        <v/>
      </c>
      <c r="N29" s="18"/>
    </row>
    <row r="30" customFormat="false" ht="15" hidden="false" customHeight="false" outlineLevel="0" collapsed="false">
      <c r="A30" s="17" t="n">
        <f aca="false">INT((B30-Panel!$B$4)/7)+1</f>
        <v>4</v>
      </c>
      <c r="B30" s="5" t="n">
        <f aca="false">B29+1</f>
        <v>46352</v>
      </c>
      <c r="C30" s="17" t="str">
        <f aca="false">CHOOSE(WEEKDAY(B30,2),"Lun","Mar","Mié","Jue","Vie","Sáb","Dom")</f>
        <v>Jue</v>
      </c>
      <c r="D30" s="17" t="str">
        <f aca="false">INDEX(Calendario!$D$5:$D$33,A30)</f>
        <v>Economía</v>
      </c>
      <c r="E30" s="17" t="str">
        <f aca="false">INDEX(Rutina!$D$5:$D$11,WEEKDAY(B30,2))</f>
        <v>Q</v>
      </c>
      <c r="F30" s="7" t="n">
        <f aca="false">IF(B30&gt;Panel!$B$5,0,MAX(0,INDEX(Rutina!$B$5:$B$11,WEEKDAY(B30,2))*(1-MIN(1,SUMPRODUCT((Eventos!$A$5:$A$40&lt;=B30)*(Eventos!$B$5:$B$40&gt;=B30)*Eventos!$D$5:$D$40)))+SUMPRODUCT((Eventos!$A$5:$A$40&lt;=B30)*(Eventos!$B$5:$B$40&gt;=B30)*Eventos!$E$5:$E$40)))</f>
        <v>1</v>
      </c>
      <c r="G30" s="18"/>
      <c r="H30" s="7" t="str">
        <f aca="false">IF(G30="","",G30*Panel!$B$8)</f>
        <v/>
      </c>
      <c r="I30" s="18"/>
      <c r="J30" s="18"/>
      <c r="K30" s="18"/>
      <c r="L30" s="8"/>
      <c r="M30" s="17" t="str">
        <f aca="false">IF(L30="","",IF(OR(WEEKDAY(B30,2)=5,WEEKDAY(B30,2)=6),"—",IF(AND(L30&gt;=0.5,L30&lt;=Panel!$B$11),"Sí","No")))</f>
        <v/>
      </c>
      <c r="N30" s="18"/>
    </row>
    <row r="31" customFormat="false" ht="15" hidden="false" customHeight="false" outlineLevel="0" collapsed="false">
      <c r="A31" s="17" t="n">
        <f aca="false">INT((B31-Panel!$B$4)/7)+1</f>
        <v>4</v>
      </c>
      <c r="B31" s="5" t="n">
        <f aca="false">B30+1</f>
        <v>46353</v>
      </c>
      <c r="C31" s="17" t="str">
        <f aca="false">CHOOSE(WEEKDAY(B31,2),"Lun","Mar","Mié","Jue","Vie","Sáb","Dom")</f>
        <v>Vie</v>
      </c>
      <c r="D31" s="17" t="str">
        <f aca="false">INDEX(Calendario!$D$5:$D$33,A31)</f>
        <v>Economía</v>
      </c>
      <c r="E31" s="17" t="str">
        <f aca="false">INDEX(Rutina!$D$5:$D$11,WEEKDAY(B31,2))</f>
        <v>L + Q</v>
      </c>
      <c r="F31" s="7" t="n">
        <f aca="false">IF(B31&gt;Panel!$B$5,0,MAX(0,INDEX(Rutina!$B$5:$B$11,WEEKDAY(B31,2))*(1-MIN(1,SUMPRODUCT((Eventos!$A$5:$A$40&lt;=B31)*(Eventos!$B$5:$B$40&gt;=B31)*Eventos!$D$5:$D$40)))+SUMPRODUCT((Eventos!$A$5:$A$40&lt;=B31)*(Eventos!$B$5:$B$40&gt;=B31)*Eventos!$E$5:$E$40)))</f>
        <v>2</v>
      </c>
      <c r="G31" s="18"/>
      <c r="H31" s="7" t="str">
        <f aca="false">IF(G31="","",G31*Panel!$B$8)</f>
        <v/>
      </c>
      <c r="I31" s="18"/>
      <c r="J31" s="18"/>
      <c r="K31" s="18"/>
      <c r="L31" s="8"/>
      <c r="M31" s="17" t="str">
        <f aca="false">IF(L31="","",IF(OR(WEEKDAY(B31,2)=5,WEEKDAY(B31,2)=6),"—",IF(AND(L31&gt;=0.5,L31&lt;=Panel!$B$11),"Sí","No")))</f>
        <v/>
      </c>
      <c r="N31" s="18"/>
    </row>
    <row r="32" customFormat="false" ht="15" hidden="false" customHeight="false" outlineLevel="0" collapsed="false">
      <c r="A32" s="17" t="n">
        <f aca="false">INT((B32-Panel!$B$4)/7)+1</f>
        <v>4</v>
      </c>
      <c r="B32" s="5" t="n">
        <f aca="false">B31+1</f>
        <v>46354</v>
      </c>
      <c r="C32" s="17" t="str">
        <f aca="false">CHOOSE(WEEKDAY(B32,2),"Lun","Mar","Mié","Jue","Vie","Sáb","Dom")</f>
        <v>Sáb</v>
      </c>
      <c r="D32" s="17" t="str">
        <f aca="false">INDEX(Calendario!$D$5:$D$33,A32)</f>
        <v>Economía</v>
      </c>
      <c r="E32" s="17" t="str">
        <f aca="false">INDEX(Rutina!$D$5:$D$11,WEEKDAY(B32,2))</f>
        <v>L + R</v>
      </c>
      <c r="F32" s="7" t="n">
        <f aca="false">IF(B32&gt;Panel!$B$5,0,MAX(0,INDEX(Rutina!$B$5:$B$11,WEEKDAY(B32,2))*(1-MIN(1,SUMPRODUCT((Eventos!$A$5:$A$40&lt;=B32)*(Eventos!$B$5:$B$40&gt;=B32)*Eventos!$D$5:$D$40)))+SUMPRODUCT((Eventos!$A$5:$A$40&lt;=B32)*(Eventos!$B$5:$B$40&gt;=B32)*Eventos!$E$5:$E$40)))</f>
        <v>2</v>
      </c>
      <c r="G32" s="18"/>
      <c r="H32" s="7" t="str">
        <f aca="false">IF(G32="","",G32*Panel!$B$8)</f>
        <v/>
      </c>
      <c r="I32" s="18"/>
      <c r="J32" s="18"/>
      <c r="K32" s="18"/>
      <c r="L32" s="8"/>
      <c r="M32" s="17" t="str">
        <f aca="false">IF(L32="","",IF(OR(WEEKDAY(B32,2)=5,WEEKDAY(B32,2)=6),"—",IF(AND(L32&gt;=0.5,L32&lt;=Panel!$B$11),"Sí","No")))</f>
        <v/>
      </c>
      <c r="N32" s="18"/>
    </row>
    <row r="33" customFormat="false" ht="15" hidden="false" customHeight="false" outlineLevel="0" collapsed="false">
      <c r="A33" s="17" t="n">
        <f aca="false">INT((B33-Panel!$B$4)/7)+1</f>
        <v>4</v>
      </c>
      <c r="B33" s="5" t="n">
        <f aca="false">B32+1</f>
        <v>46355</v>
      </c>
      <c r="C33" s="17" t="str">
        <f aca="false">CHOOSE(WEEKDAY(B33,2),"Lun","Mar","Mié","Jue","Vie","Sáb","Dom")</f>
        <v>Dom</v>
      </c>
      <c r="D33" s="17" t="str">
        <f aca="false">INDEX(Calendario!$D$5:$D$33,A33)</f>
        <v>Economía</v>
      </c>
      <c r="E33" s="17" t="str">
        <f aca="false">INDEX(Rutina!$D$5:$D$11,WEEKDAY(B33,2))</f>
        <v>V + F</v>
      </c>
      <c r="F33" s="7" t="n">
        <f aca="false">IF(B33&gt;Panel!$B$5,0,MAX(0,INDEX(Rutina!$B$5:$B$11,WEEKDAY(B33,2))*(1-MIN(1,SUMPRODUCT((Eventos!$A$5:$A$40&lt;=B33)*(Eventos!$B$5:$B$40&gt;=B33)*Eventos!$D$5:$D$40)))+SUMPRODUCT((Eventos!$A$5:$A$40&lt;=B33)*(Eventos!$B$5:$B$40&gt;=B33)*Eventos!$E$5:$E$40)))</f>
        <v>2</v>
      </c>
      <c r="G33" s="18"/>
      <c r="H33" s="7" t="str">
        <f aca="false">IF(G33="","",G33*Panel!$B$8)</f>
        <v/>
      </c>
      <c r="I33" s="18"/>
      <c r="J33" s="18"/>
      <c r="K33" s="18"/>
      <c r="L33" s="8"/>
      <c r="M33" s="17" t="str">
        <f aca="false">IF(L33="","",IF(OR(WEEKDAY(B33,2)=5,WEEKDAY(B33,2)=6),"—",IF(AND(L33&gt;=0.5,L33&lt;=Panel!$B$11),"Sí","No")))</f>
        <v/>
      </c>
      <c r="N33" s="18"/>
    </row>
    <row r="34" customFormat="false" ht="15" hidden="false" customHeight="false" outlineLevel="0" collapsed="false">
      <c r="A34" s="17" t="n">
        <f aca="false">INT((B34-Panel!$B$4)/7)+1</f>
        <v>5</v>
      </c>
      <c r="B34" s="5" t="n">
        <f aca="false">B33+1</f>
        <v>46356</v>
      </c>
      <c r="C34" s="17" t="str">
        <f aca="false">CHOOSE(WEEKDAY(B34,2),"Lun","Mar","Mié","Jue","Vie","Sáb","Dom")</f>
        <v>Lun</v>
      </c>
      <c r="D34" s="17" t="str">
        <f aca="false">INDEX(Calendario!$D$5:$D$33,A34)</f>
        <v>FSA</v>
      </c>
      <c r="E34" s="17" t="str">
        <f aca="false">INDEX(Rutina!$D$5:$D$11,WEEKDAY(B34,2))</f>
        <v>R</v>
      </c>
      <c r="F34" s="7" t="n">
        <f aca="false">IF(B34&gt;Panel!$B$5,0,MAX(0,INDEX(Rutina!$B$5:$B$11,WEEKDAY(B34,2))*(1-MIN(1,SUMPRODUCT((Eventos!$A$5:$A$40&lt;=B34)*(Eventos!$B$5:$B$40&gt;=B34)*Eventos!$D$5:$D$40)))+SUMPRODUCT((Eventos!$A$5:$A$40&lt;=B34)*(Eventos!$B$5:$B$40&gt;=B34)*Eventos!$E$5:$E$40)))</f>
        <v>1</v>
      </c>
      <c r="G34" s="18"/>
      <c r="H34" s="7" t="str">
        <f aca="false">IF(G34="","",G34*Panel!$B$8)</f>
        <v/>
      </c>
      <c r="I34" s="18"/>
      <c r="J34" s="18"/>
      <c r="K34" s="18"/>
      <c r="L34" s="8"/>
      <c r="M34" s="17" t="str">
        <f aca="false">IF(L34="","",IF(OR(WEEKDAY(B34,2)=5,WEEKDAY(B34,2)=6),"—",IF(AND(L34&gt;=0.5,L34&lt;=Panel!$B$11),"Sí","No")))</f>
        <v/>
      </c>
      <c r="N34" s="18"/>
    </row>
    <row r="35" customFormat="false" ht="15" hidden="false" customHeight="false" outlineLevel="0" collapsed="false">
      <c r="A35" s="17" t="n">
        <f aca="false">INT((B35-Panel!$B$4)/7)+1</f>
        <v>5</v>
      </c>
      <c r="B35" s="5" t="n">
        <f aca="false">B34+1</f>
        <v>46357</v>
      </c>
      <c r="C35" s="17" t="str">
        <f aca="false">CHOOSE(WEEKDAY(B35,2),"Lun","Mar","Mié","Jue","Vie","Sáb","Dom")</f>
        <v>Mar</v>
      </c>
      <c r="D35" s="17" t="str">
        <f aca="false">INDEX(Calendario!$D$5:$D$33,A35)</f>
        <v>FSA</v>
      </c>
      <c r="E35" s="17" t="str">
        <f aca="false">INDEX(Rutina!$D$5:$D$11,WEEKDAY(B35,2))</f>
        <v>R</v>
      </c>
      <c r="F35" s="7" t="n">
        <f aca="false">IF(B35&gt;Panel!$B$5,0,MAX(0,INDEX(Rutina!$B$5:$B$11,WEEKDAY(B35,2))*(1-MIN(1,SUMPRODUCT((Eventos!$A$5:$A$40&lt;=B35)*(Eventos!$B$5:$B$40&gt;=B35)*Eventos!$D$5:$D$40)))+SUMPRODUCT((Eventos!$A$5:$A$40&lt;=B35)*(Eventos!$B$5:$B$40&gt;=B35)*Eventos!$E$5:$E$40)))</f>
        <v>1</v>
      </c>
      <c r="G35" s="18"/>
      <c r="H35" s="7" t="str">
        <f aca="false">IF(G35="","",G35*Panel!$B$8)</f>
        <v/>
      </c>
      <c r="I35" s="18"/>
      <c r="J35" s="18"/>
      <c r="K35" s="18"/>
      <c r="L35" s="8"/>
      <c r="M35" s="17" t="str">
        <f aca="false">IF(L35="","",IF(OR(WEEKDAY(B35,2)=5,WEEKDAY(B35,2)=6),"—",IF(AND(L35&gt;=0.5,L35&lt;=Panel!$B$11),"Sí","No")))</f>
        <v/>
      </c>
      <c r="N35" s="18"/>
    </row>
    <row r="36" customFormat="false" ht="15" hidden="false" customHeight="false" outlineLevel="0" collapsed="false">
      <c r="A36" s="17" t="n">
        <f aca="false">INT((B36-Panel!$B$4)/7)+1</f>
        <v>5</v>
      </c>
      <c r="B36" s="5" t="n">
        <f aca="false">B35+1</f>
        <v>46358</v>
      </c>
      <c r="C36" s="17" t="str">
        <f aca="false">CHOOSE(WEEKDAY(B36,2),"Lun","Mar","Mié","Jue","Vie","Sáb","Dom")</f>
        <v>Mié</v>
      </c>
      <c r="D36" s="17" t="str">
        <f aca="false">INDEX(Calendario!$D$5:$D$33,A36)</f>
        <v>FSA</v>
      </c>
      <c r="E36" s="17" t="str">
        <f aca="false">INDEX(Rutina!$D$5:$D$11,WEEKDAY(B36,2))</f>
        <v>Q</v>
      </c>
      <c r="F36" s="7" t="n">
        <f aca="false">IF(B36&gt;Panel!$B$5,0,MAX(0,INDEX(Rutina!$B$5:$B$11,WEEKDAY(B36,2))*(1-MIN(1,SUMPRODUCT((Eventos!$A$5:$A$40&lt;=B36)*(Eventos!$B$5:$B$40&gt;=B36)*Eventos!$D$5:$D$40)))+SUMPRODUCT((Eventos!$A$5:$A$40&lt;=B36)*(Eventos!$B$5:$B$40&gt;=B36)*Eventos!$E$5:$E$40)))</f>
        <v>1</v>
      </c>
      <c r="G36" s="18"/>
      <c r="H36" s="7" t="str">
        <f aca="false">IF(G36="","",G36*Panel!$B$8)</f>
        <v/>
      </c>
      <c r="I36" s="18"/>
      <c r="J36" s="18"/>
      <c r="K36" s="18"/>
      <c r="L36" s="8"/>
      <c r="M36" s="17" t="str">
        <f aca="false">IF(L36="","",IF(OR(WEEKDAY(B36,2)=5,WEEKDAY(B36,2)=6),"—",IF(AND(L36&gt;=0.5,L36&lt;=Panel!$B$11),"Sí","No")))</f>
        <v/>
      </c>
      <c r="N36" s="18"/>
    </row>
    <row r="37" customFormat="false" ht="15" hidden="false" customHeight="false" outlineLevel="0" collapsed="false">
      <c r="A37" s="17" t="n">
        <f aca="false">INT((B37-Panel!$B$4)/7)+1</f>
        <v>5</v>
      </c>
      <c r="B37" s="5" t="n">
        <f aca="false">B36+1</f>
        <v>46359</v>
      </c>
      <c r="C37" s="17" t="str">
        <f aca="false">CHOOSE(WEEKDAY(B37,2),"Lun","Mar","Mié","Jue","Vie","Sáb","Dom")</f>
        <v>Jue</v>
      </c>
      <c r="D37" s="17" t="str">
        <f aca="false">INDEX(Calendario!$D$5:$D$33,A37)</f>
        <v>FSA</v>
      </c>
      <c r="E37" s="17" t="str">
        <f aca="false">INDEX(Rutina!$D$5:$D$11,WEEKDAY(B37,2))</f>
        <v>Q</v>
      </c>
      <c r="F37" s="7" t="n">
        <f aca="false">IF(B37&gt;Panel!$B$5,0,MAX(0,INDEX(Rutina!$B$5:$B$11,WEEKDAY(B37,2))*(1-MIN(1,SUMPRODUCT((Eventos!$A$5:$A$40&lt;=B37)*(Eventos!$B$5:$B$40&gt;=B37)*Eventos!$D$5:$D$40)))+SUMPRODUCT((Eventos!$A$5:$A$40&lt;=B37)*(Eventos!$B$5:$B$40&gt;=B37)*Eventos!$E$5:$E$40)))</f>
        <v>1</v>
      </c>
      <c r="G37" s="18"/>
      <c r="H37" s="7" t="str">
        <f aca="false">IF(G37="","",G37*Panel!$B$8)</f>
        <v/>
      </c>
      <c r="I37" s="18"/>
      <c r="J37" s="18"/>
      <c r="K37" s="18"/>
      <c r="L37" s="8"/>
      <c r="M37" s="17" t="str">
        <f aca="false">IF(L37="","",IF(OR(WEEKDAY(B37,2)=5,WEEKDAY(B37,2)=6),"—",IF(AND(L37&gt;=0.5,L37&lt;=Panel!$B$11),"Sí","No")))</f>
        <v/>
      </c>
      <c r="N37" s="18"/>
    </row>
    <row r="38" customFormat="false" ht="15" hidden="false" customHeight="false" outlineLevel="0" collapsed="false">
      <c r="A38" s="17" t="n">
        <f aca="false">INT((B38-Panel!$B$4)/7)+1</f>
        <v>5</v>
      </c>
      <c r="B38" s="5" t="n">
        <f aca="false">B37+1</f>
        <v>46360</v>
      </c>
      <c r="C38" s="17" t="str">
        <f aca="false">CHOOSE(WEEKDAY(B38,2),"Lun","Mar","Mié","Jue","Vie","Sáb","Dom")</f>
        <v>Vie</v>
      </c>
      <c r="D38" s="17" t="str">
        <f aca="false">INDEX(Calendario!$D$5:$D$33,A38)</f>
        <v>FSA</v>
      </c>
      <c r="E38" s="17" t="str">
        <f aca="false">INDEX(Rutina!$D$5:$D$11,WEEKDAY(B38,2))</f>
        <v>L + Q</v>
      </c>
      <c r="F38" s="7" t="n">
        <f aca="false">IF(B38&gt;Panel!$B$5,0,MAX(0,INDEX(Rutina!$B$5:$B$11,WEEKDAY(B38,2))*(1-MIN(1,SUMPRODUCT((Eventos!$A$5:$A$40&lt;=B38)*(Eventos!$B$5:$B$40&gt;=B38)*Eventos!$D$5:$D$40)))+SUMPRODUCT((Eventos!$A$5:$A$40&lt;=B38)*(Eventos!$B$5:$B$40&gt;=B38)*Eventos!$E$5:$E$40)))</f>
        <v>2</v>
      </c>
      <c r="G38" s="18"/>
      <c r="H38" s="7" t="str">
        <f aca="false">IF(G38="","",G38*Panel!$B$8)</f>
        <v/>
      </c>
      <c r="I38" s="18"/>
      <c r="J38" s="18"/>
      <c r="K38" s="18"/>
      <c r="L38" s="8"/>
      <c r="M38" s="17" t="str">
        <f aca="false">IF(L38="","",IF(OR(WEEKDAY(B38,2)=5,WEEKDAY(B38,2)=6),"—",IF(AND(L38&gt;=0.5,L38&lt;=Panel!$B$11),"Sí","No")))</f>
        <v/>
      </c>
      <c r="N38" s="18"/>
    </row>
    <row r="39" customFormat="false" ht="15" hidden="false" customHeight="false" outlineLevel="0" collapsed="false">
      <c r="A39" s="17" t="n">
        <f aca="false">INT((B39-Panel!$B$4)/7)+1</f>
        <v>5</v>
      </c>
      <c r="B39" s="5" t="n">
        <f aca="false">B38+1</f>
        <v>46361</v>
      </c>
      <c r="C39" s="17" t="str">
        <f aca="false">CHOOSE(WEEKDAY(B39,2),"Lun","Mar","Mié","Jue","Vie","Sáb","Dom")</f>
        <v>Sáb</v>
      </c>
      <c r="D39" s="17" t="str">
        <f aca="false">INDEX(Calendario!$D$5:$D$33,A39)</f>
        <v>FSA</v>
      </c>
      <c r="E39" s="17" t="str">
        <f aca="false">INDEX(Rutina!$D$5:$D$11,WEEKDAY(B39,2))</f>
        <v>L + R</v>
      </c>
      <c r="F39" s="7" t="n">
        <f aca="false">IF(B39&gt;Panel!$B$5,0,MAX(0,INDEX(Rutina!$B$5:$B$11,WEEKDAY(B39,2))*(1-MIN(1,SUMPRODUCT((Eventos!$A$5:$A$40&lt;=B39)*(Eventos!$B$5:$B$40&gt;=B39)*Eventos!$D$5:$D$40)))+SUMPRODUCT((Eventos!$A$5:$A$40&lt;=B39)*(Eventos!$B$5:$B$40&gt;=B39)*Eventos!$E$5:$E$40)))</f>
        <v>2</v>
      </c>
      <c r="G39" s="18"/>
      <c r="H39" s="7" t="str">
        <f aca="false">IF(G39="","",G39*Panel!$B$8)</f>
        <v/>
      </c>
      <c r="I39" s="18"/>
      <c r="J39" s="18"/>
      <c r="K39" s="18"/>
      <c r="L39" s="8"/>
      <c r="M39" s="17" t="str">
        <f aca="false">IF(L39="","",IF(OR(WEEKDAY(B39,2)=5,WEEKDAY(B39,2)=6),"—",IF(AND(L39&gt;=0.5,L39&lt;=Panel!$B$11),"Sí","No")))</f>
        <v/>
      </c>
      <c r="N39" s="18"/>
    </row>
    <row r="40" customFormat="false" ht="15" hidden="false" customHeight="false" outlineLevel="0" collapsed="false">
      <c r="A40" s="17" t="n">
        <f aca="false">INT((B40-Panel!$B$4)/7)+1</f>
        <v>5</v>
      </c>
      <c r="B40" s="5" t="n">
        <f aca="false">B39+1</f>
        <v>46362</v>
      </c>
      <c r="C40" s="17" t="str">
        <f aca="false">CHOOSE(WEEKDAY(B40,2),"Lun","Mar","Mié","Jue","Vie","Sáb","Dom")</f>
        <v>Dom</v>
      </c>
      <c r="D40" s="17" t="str">
        <f aca="false">INDEX(Calendario!$D$5:$D$33,A40)</f>
        <v>FSA</v>
      </c>
      <c r="E40" s="17" t="str">
        <f aca="false">INDEX(Rutina!$D$5:$D$11,WEEKDAY(B40,2))</f>
        <v>V + F</v>
      </c>
      <c r="F40" s="7" t="n">
        <f aca="false">IF(B40&gt;Panel!$B$5,0,MAX(0,INDEX(Rutina!$B$5:$B$11,WEEKDAY(B40,2))*(1-MIN(1,SUMPRODUCT((Eventos!$A$5:$A$40&lt;=B40)*(Eventos!$B$5:$B$40&gt;=B40)*Eventos!$D$5:$D$40)))+SUMPRODUCT((Eventos!$A$5:$A$40&lt;=B40)*(Eventos!$B$5:$B$40&gt;=B40)*Eventos!$E$5:$E$40)))</f>
        <v>2</v>
      </c>
      <c r="G40" s="18"/>
      <c r="H40" s="7" t="str">
        <f aca="false">IF(G40="","",G40*Panel!$B$8)</f>
        <v/>
      </c>
      <c r="I40" s="18"/>
      <c r="J40" s="18"/>
      <c r="K40" s="18"/>
      <c r="L40" s="8"/>
      <c r="M40" s="17" t="str">
        <f aca="false">IF(L40="","",IF(OR(WEEKDAY(B40,2)=5,WEEKDAY(B40,2)=6),"—",IF(AND(L40&gt;=0.5,L40&lt;=Panel!$B$11),"Sí","No")))</f>
        <v/>
      </c>
      <c r="N40" s="18"/>
    </row>
    <row r="41" customFormat="false" ht="15" hidden="false" customHeight="false" outlineLevel="0" collapsed="false">
      <c r="A41" s="17" t="n">
        <f aca="false">INT((B41-Panel!$B$4)/7)+1</f>
        <v>6</v>
      </c>
      <c r="B41" s="5" t="n">
        <f aca="false">B40+1</f>
        <v>46363</v>
      </c>
      <c r="C41" s="17" t="str">
        <f aca="false">CHOOSE(WEEKDAY(B41,2),"Lun","Mar","Mié","Jue","Vie","Sáb","Dom")</f>
        <v>Lun</v>
      </c>
      <c r="D41" s="17" t="str">
        <f aca="false">INDEX(Calendario!$D$5:$D$33,A41)</f>
        <v>FSA</v>
      </c>
      <c r="E41" s="17" t="str">
        <f aca="false">INDEX(Rutina!$D$5:$D$11,WEEKDAY(B41,2))</f>
        <v>R</v>
      </c>
      <c r="F41" s="7" t="n">
        <f aca="false">IF(B41&gt;Panel!$B$5,0,MAX(0,INDEX(Rutina!$B$5:$B$11,WEEKDAY(B41,2))*(1-MIN(1,SUMPRODUCT((Eventos!$A$5:$A$40&lt;=B41)*(Eventos!$B$5:$B$40&gt;=B41)*Eventos!$D$5:$D$40)))+SUMPRODUCT((Eventos!$A$5:$A$40&lt;=B41)*(Eventos!$B$5:$B$40&gt;=B41)*Eventos!$E$5:$E$40)))</f>
        <v>1</v>
      </c>
      <c r="G41" s="18"/>
      <c r="H41" s="7" t="str">
        <f aca="false">IF(G41="","",G41*Panel!$B$8)</f>
        <v/>
      </c>
      <c r="I41" s="18"/>
      <c r="J41" s="18"/>
      <c r="K41" s="18"/>
      <c r="L41" s="8"/>
      <c r="M41" s="17" t="str">
        <f aca="false">IF(L41="","",IF(OR(WEEKDAY(B41,2)=5,WEEKDAY(B41,2)=6),"—",IF(AND(L41&gt;=0.5,L41&lt;=Panel!$B$11),"Sí","No")))</f>
        <v/>
      </c>
      <c r="N41" s="18"/>
    </row>
    <row r="42" customFormat="false" ht="15" hidden="false" customHeight="false" outlineLevel="0" collapsed="false">
      <c r="A42" s="17" t="n">
        <f aca="false">INT((B42-Panel!$B$4)/7)+1</f>
        <v>6</v>
      </c>
      <c r="B42" s="5" t="n">
        <f aca="false">B41+1</f>
        <v>46364</v>
      </c>
      <c r="C42" s="17" t="str">
        <f aca="false">CHOOSE(WEEKDAY(B42,2),"Lun","Mar","Mié","Jue","Vie","Sáb","Dom")</f>
        <v>Mar</v>
      </c>
      <c r="D42" s="17" t="str">
        <f aca="false">INDEX(Calendario!$D$5:$D$33,A42)</f>
        <v>FSA</v>
      </c>
      <c r="E42" s="17" t="str">
        <f aca="false">INDEX(Rutina!$D$5:$D$11,WEEKDAY(B42,2))</f>
        <v>R</v>
      </c>
      <c r="F42" s="7" t="n">
        <f aca="false">IF(B42&gt;Panel!$B$5,0,MAX(0,INDEX(Rutina!$B$5:$B$11,WEEKDAY(B42,2))*(1-MIN(1,SUMPRODUCT((Eventos!$A$5:$A$40&lt;=B42)*(Eventos!$B$5:$B$40&gt;=B42)*Eventos!$D$5:$D$40)))+SUMPRODUCT((Eventos!$A$5:$A$40&lt;=B42)*(Eventos!$B$5:$B$40&gt;=B42)*Eventos!$E$5:$E$40)))</f>
        <v>2</v>
      </c>
      <c r="G42" s="18"/>
      <c r="H42" s="7" t="str">
        <f aca="false">IF(G42="","",G42*Panel!$B$8)</f>
        <v/>
      </c>
      <c r="I42" s="18"/>
      <c r="J42" s="18"/>
      <c r="K42" s="18"/>
      <c r="L42" s="8"/>
      <c r="M42" s="17" t="str">
        <f aca="false">IF(L42="","",IF(OR(WEEKDAY(B42,2)=5,WEEKDAY(B42,2)=6),"—",IF(AND(L42&gt;=0.5,L42&lt;=Panel!$B$11),"Sí","No")))</f>
        <v/>
      </c>
      <c r="N42" s="18"/>
    </row>
    <row r="43" customFormat="false" ht="15" hidden="false" customHeight="false" outlineLevel="0" collapsed="false">
      <c r="A43" s="17" t="n">
        <f aca="false">INT((B43-Panel!$B$4)/7)+1</f>
        <v>6</v>
      </c>
      <c r="B43" s="5" t="n">
        <f aca="false">B42+1</f>
        <v>46365</v>
      </c>
      <c r="C43" s="17" t="str">
        <f aca="false">CHOOSE(WEEKDAY(B43,2),"Lun","Mar","Mié","Jue","Vie","Sáb","Dom")</f>
        <v>Mié</v>
      </c>
      <c r="D43" s="17" t="str">
        <f aca="false">INDEX(Calendario!$D$5:$D$33,A43)</f>
        <v>FSA</v>
      </c>
      <c r="E43" s="17" t="str">
        <f aca="false">INDEX(Rutina!$D$5:$D$11,WEEKDAY(B43,2))</f>
        <v>Q</v>
      </c>
      <c r="F43" s="7" t="n">
        <f aca="false">IF(B43&gt;Panel!$B$5,0,MAX(0,INDEX(Rutina!$B$5:$B$11,WEEKDAY(B43,2))*(1-MIN(1,SUMPRODUCT((Eventos!$A$5:$A$40&lt;=B43)*(Eventos!$B$5:$B$40&gt;=B43)*Eventos!$D$5:$D$40)))+SUMPRODUCT((Eventos!$A$5:$A$40&lt;=B43)*(Eventos!$B$5:$B$40&gt;=B43)*Eventos!$E$5:$E$40)))</f>
        <v>1</v>
      </c>
      <c r="G43" s="18"/>
      <c r="H43" s="7" t="str">
        <f aca="false">IF(G43="","",G43*Panel!$B$8)</f>
        <v/>
      </c>
      <c r="I43" s="18"/>
      <c r="J43" s="18"/>
      <c r="K43" s="18"/>
      <c r="L43" s="8"/>
      <c r="M43" s="17" t="str">
        <f aca="false">IF(L43="","",IF(OR(WEEKDAY(B43,2)=5,WEEKDAY(B43,2)=6),"—",IF(AND(L43&gt;=0.5,L43&lt;=Panel!$B$11),"Sí","No")))</f>
        <v/>
      </c>
      <c r="N43" s="18"/>
    </row>
    <row r="44" customFormat="false" ht="15" hidden="false" customHeight="false" outlineLevel="0" collapsed="false">
      <c r="A44" s="17" t="n">
        <f aca="false">INT((B44-Panel!$B$4)/7)+1</f>
        <v>6</v>
      </c>
      <c r="B44" s="5" t="n">
        <f aca="false">B43+1</f>
        <v>46366</v>
      </c>
      <c r="C44" s="17" t="str">
        <f aca="false">CHOOSE(WEEKDAY(B44,2),"Lun","Mar","Mié","Jue","Vie","Sáb","Dom")</f>
        <v>Jue</v>
      </c>
      <c r="D44" s="17" t="str">
        <f aca="false">INDEX(Calendario!$D$5:$D$33,A44)</f>
        <v>FSA</v>
      </c>
      <c r="E44" s="17" t="str">
        <f aca="false">INDEX(Rutina!$D$5:$D$11,WEEKDAY(B44,2))</f>
        <v>Q</v>
      </c>
      <c r="F44" s="7" t="n">
        <f aca="false">IF(B44&gt;Panel!$B$5,0,MAX(0,INDEX(Rutina!$B$5:$B$11,WEEKDAY(B44,2))*(1-MIN(1,SUMPRODUCT((Eventos!$A$5:$A$40&lt;=B44)*(Eventos!$B$5:$B$40&gt;=B44)*Eventos!$D$5:$D$40)))+SUMPRODUCT((Eventos!$A$5:$A$40&lt;=B44)*(Eventos!$B$5:$B$40&gt;=B44)*Eventos!$E$5:$E$40)))</f>
        <v>1</v>
      </c>
      <c r="G44" s="18"/>
      <c r="H44" s="7" t="str">
        <f aca="false">IF(G44="","",G44*Panel!$B$8)</f>
        <v/>
      </c>
      <c r="I44" s="18"/>
      <c r="J44" s="18"/>
      <c r="K44" s="18"/>
      <c r="L44" s="8"/>
      <c r="M44" s="17" t="str">
        <f aca="false">IF(L44="","",IF(OR(WEEKDAY(B44,2)=5,WEEKDAY(B44,2)=6),"—",IF(AND(L44&gt;=0.5,L44&lt;=Panel!$B$11),"Sí","No")))</f>
        <v/>
      </c>
      <c r="N44" s="18"/>
    </row>
    <row r="45" customFormat="false" ht="15" hidden="false" customHeight="false" outlineLevel="0" collapsed="false">
      <c r="A45" s="17" t="n">
        <f aca="false">INT((B45-Panel!$B$4)/7)+1</f>
        <v>6</v>
      </c>
      <c r="B45" s="5" t="n">
        <f aca="false">B44+1</f>
        <v>46367</v>
      </c>
      <c r="C45" s="17" t="str">
        <f aca="false">CHOOSE(WEEKDAY(B45,2),"Lun","Mar","Mié","Jue","Vie","Sáb","Dom")</f>
        <v>Vie</v>
      </c>
      <c r="D45" s="17" t="str">
        <f aca="false">INDEX(Calendario!$D$5:$D$33,A45)</f>
        <v>FSA</v>
      </c>
      <c r="E45" s="17" t="str">
        <f aca="false">INDEX(Rutina!$D$5:$D$11,WEEKDAY(B45,2))</f>
        <v>L + Q</v>
      </c>
      <c r="F45" s="7" t="n">
        <f aca="false">IF(B45&gt;Panel!$B$5,0,MAX(0,INDEX(Rutina!$B$5:$B$11,WEEKDAY(B45,2))*(1-MIN(1,SUMPRODUCT((Eventos!$A$5:$A$40&lt;=B45)*(Eventos!$B$5:$B$40&gt;=B45)*Eventos!$D$5:$D$40)))+SUMPRODUCT((Eventos!$A$5:$A$40&lt;=B45)*(Eventos!$B$5:$B$40&gt;=B45)*Eventos!$E$5:$E$40)))</f>
        <v>2</v>
      </c>
      <c r="G45" s="18"/>
      <c r="H45" s="7" t="str">
        <f aca="false">IF(G45="","",G45*Panel!$B$8)</f>
        <v/>
      </c>
      <c r="I45" s="18"/>
      <c r="J45" s="18"/>
      <c r="K45" s="18"/>
      <c r="L45" s="8"/>
      <c r="M45" s="17" t="str">
        <f aca="false">IF(L45="","",IF(OR(WEEKDAY(B45,2)=5,WEEKDAY(B45,2)=6),"—",IF(AND(L45&gt;=0.5,L45&lt;=Panel!$B$11),"Sí","No")))</f>
        <v/>
      </c>
      <c r="N45" s="18"/>
    </row>
    <row r="46" customFormat="false" ht="15" hidden="false" customHeight="false" outlineLevel="0" collapsed="false">
      <c r="A46" s="17" t="n">
        <f aca="false">INT((B46-Panel!$B$4)/7)+1</f>
        <v>6</v>
      </c>
      <c r="B46" s="5" t="n">
        <f aca="false">B45+1</f>
        <v>46368</v>
      </c>
      <c r="C46" s="17" t="str">
        <f aca="false">CHOOSE(WEEKDAY(B46,2),"Lun","Mar","Mié","Jue","Vie","Sáb","Dom")</f>
        <v>Sáb</v>
      </c>
      <c r="D46" s="17" t="str">
        <f aca="false">INDEX(Calendario!$D$5:$D$33,A46)</f>
        <v>FSA</v>
      </c>
      <c r="E46" s="17" t="str">
        <f aca="false">INDEX(Rutina!$D$5:$D$11,WEEKDAY(B46,2))</f>
        <v>L + R</v>
      </c>
      <c r="F46" s="7" t="n">
        <f aca="false">IF(B46&gt;Panel!$B$5,0,MAX(0,INDEX(Rutina!$B$5:$B$11,WEEKDAY(B46,2))*(1-MIN(1,SUMPRODUCT((Eventos!$A$5:$A$40&lt;=B46)*(Eventos!$B$5:$B$40&gt;=B46)*Eventos!$D$5:$D$40)))+SUMPRODUCT((Eventos!$A$5:$A$40&lt;=B46)*(Eventos!$B$5:$B$40&gt;=B46)*Eventos!$E$5:$E$40)))</f>
        <v>2</v>
      </c>
      <c r="G46" s="18"/>
      <c r="H46" s="7" t="str">
        <f aca="false">IF(G46="","",G46*Panel!$B$8)</f>
        <v/>
      </c>
      <c r="I46" s="18"/>
      <c r="J46" s="18"/>
      <c r="K46" s="18"/>
      <c r="L46" s="8"/>
      <c r="M46" s="17" t="str">
        <f aca="false">IF(L46="","",IF(OR(WEEKDAY(B46,2)=5,WEEKDAY(B46,2)=6),"—",IF(AND(L46&gt;=0.5,L46&lt;=Panel!$B$11),"Sí","No")))</f>
        <v/>
      </c>
      <c r="N46" s="18"/>
    </row>
    <row r="47" customFormat="false" ht="15" hidden="false" customHeight="false" outlineLevel="0" collapsed="false">
      <c r="A47" s="17" t="n">
        <f aca="false">INT((B47-Panel!$B$4)/7)+1</f>
        <v>6</v>
      </c>
      <c r="B47" s="5" t="n">
        <f aca="false">B46+1</f>
        <v>46369</v>
      </c>
      <c r="C47" s="17" t="str">
        <f aca="false">CHOOSE(WEEKDAY(B47,2),"Lun","Mar","Mié","Jue","Vie","Sáb","Dom")</f>
        <v>Dom</v>
      </c>
      <c r="D47" s="17" t="str">
        <f aca="false">INDEX(Calendario!$D$5:$D$33,A47)</f>
        <v>FSA</v>
      </c>
      <c r="E47" s="17" t="str">
        <f aca="false">INDEX(Rutina!$D$5:$D$11,WEEKDAY(B47,2))</f>
        <v>V + F</v>
      </c>
      <c r="F47" s="7" t="n">
        <f aca="false">IF(B47&gt;Panel!$B$5,0,MAX(0,INDEX(Rutina!$B$5:$B$11,WEEKDAY(B47,2))*(1-MIN(1,SUMPRODUCT((Eventos!$A$5:$A$40&lt;=B47)*(Eventos!$B$5:$B$40&gt;=B47)*Eventos!$D$5:$D$40)))+SUMPRODUCT((Eventos!$A$5:$A$40&lt;=B47)*(Eventos!$B$5:$B$40&gt;=B47)*Eventos!$E$5:$E$40)))</f>
        <v>2</v>
      </c>
      <c r="G47" s="18"/>
      <c r="H47" s="7" t="str">
        <f aca="false">IF(G47="","",G47*Panel!$B$8)</f>
        <v/>
      </c>
      <c r="I47" s="18"/>
      <c r="J47" s="18"/>
      <c r="K47" s="18"/>
      <c r="L47" s="8"/>
      <c r="M47" s="17" t="str">
        <f aca="false">IF(L47="","",IF(OR(WEEKDAY(B47,2)=5,WEEKDAY(B47,2)=6),"—",IF(AND(L47&gt;=0.5,L47&lt;=Panel!$B$11),"Sí","No")))</f>
        <v/>
      </c>
      <c r="N47" s="18"/>
    </row>
    <row r="48" customFormat="false" ht="15" hidden="false" customHeight="false" outlineLevel="0" collapsed="false">
      <c r="A48" s="17" t="n">
        <f aca="false">INT((B48-Panel!$B$4)/7)+1</f>
        <v>7</v>
      </c>
      <c r="B48" s="5" t="n">
        <f aca="false">B47+1</f>
        <v>46370</v>
      </c>
      <c r="C48" s="17" t="str">
        <f aca="false">CHOOSE(WEEKDAY(B48,2),"Lun","Mar","Mié","Jue","Vie","Sáb","Dom")</f>
        <v>Lun</v>
      </c>
      <c r="D48" s="17" t="str">
        <f aca="false">INDEX(Calendario!$D$5:$D$33,A48)</f>
        <v>FSA</v>
      </c>
      <c r="E48" s="17" t="str">
        <f aca="false">INDEX(Rutina!$D$5:$D$11,WEEKDAY(B48,2))</f>
        <v>R</v>
      </c>
      <c r="F48" s="7" t="n">
        <f aca="false">IF(B48&gt;Panel!$B$5,0,MAX(0,INDEX(Rutina!$B$5:$B$11,WEEKDAY(B48,2))*(1-MIN(1,SUMPRODUCT((Eventos!$A$5:$A$40&lt;=B48)*(Eventos!$B$5:$B$40&gt;=B48)*Eventos!$D$5:$D$40)))+SUMPRODUCT((Eventos!$A$5:$A$40&lt;=B48)*(Eventos!$B$5:$B$40&gt;=B48)*Eventos!$E$5:$E$40)))</f>
        <v>1</v>
      </c>
      <c r="G48" s="18"/>
      <c r="H48" s="7" t="str">
        <f aca="false">IF(G48="","",G48*Panel!$B$8)</f>
        <v/>
      </c>
      <c r="I48" s="18"/>
      <c r="J48" s="18"/>
      <c r="K48" s="18"/>
      <c r="L48" s="8"/>
      <c r="M48" s="17" t="str">
        <f aca="false">IF(L48="","",IF(OR(WEEKDAY(B48,2)=5,WEEKDAY(B48,2)=6),"—",IF(AND(L48&gt;=0.5,L48&lt;=Panel!$B$11),"Sí","No")))</f>
        <v/>
      </c>
      <c r="N48" s="18"/>
    </row>
    <row r="49" customFormat="false" ht="15" hidden="false" customHeight="false" outlineLevel="0" collapsed="false">
      <c r="A49" s="17" t="n">
        <f aca="false">INT((B49-Panel!$B$4)/7)+1</f>
        <v>7</v>
      </c>
      <c r="B49" s="5" t="n">
        <f aca="false">B48+1</f>
        <v>46371</v>
      </c>
      <c r="C49" s="17" t="str">
        <f aca="false">CHOOSE(WEEKDAY(B49,2),"Lun","Mar","Mié","Jue","Vie","Sáb","Dom")</f>
        <v>Mar</v>
      </c>
      <c r="D49" s="17" t="str">
        <f aca="false">INDEX(Calendario!$D$5:$D$33,A49)</f>
        <v>FSA</v>
      </c>
      <c r="E49" s="17" t="str">
        <f aca="false">INDEX(Rutina!$D$5:$D$11,WEEKDAY(B49,2))</f>
        <v>R</v>
      </c>
      <c r="F49" s="7" t="n">
        <f aca="false">IF(B49&gt;Panel!$B$5,0,MAX(0,INDEX(Rutina!$B$5:$B$11,WEEKDAY(B49,2))*(1-MIN(1,SUMPRODUCT((Eventos!$A$5:$A$40&lt;=B49)*(Eventos!$B$5:$B$40&gt;=B49)*Eventos!$D$5:$D$40)))+SUMPRODUCT((Eventos!$A$5:$A$40&lt;=B49)*(Eventos!$B$5:$B$40&gt;=B49)*Eventos!$E$5:$E$40)))</f>
        <v>1</v>
      </c>
      <c r="G49" s="18"/>
      <c r="H49" s="7" t="str">
        <f aca="false">IF(G49="","",G49*Panel!$B$8)</f>
        <v/>
      </c>
      <c r="I49" s="18"/>
      <c r="J49" s="18"/>
      <c r="K49" s="18"/>
      <c r="L49" s="8"/>
      <c r="M49" s="17" t="str">
        <f aca="false">IF(L49="","",IF(OR(WEEKDAY(B49,2)=5,WEEKDAY(B49,2)=6),"—",IF(AND(L49&gt;=0.5,L49&lt;=Panel!$B$11),"Sí","No")))</f>
        <v/>
      </c>
      <c r="N49" s="18"/>
    </row>
    <row r="50" customFormat="false" ht="15" hidden="false" customHeight="false" outlineLevel="0" collapsed="false">
      <c r="A50" s="17" t="n">
        <f aca="false">INT((B50-Panel!$B$4)/7)+1</f>
        <v>7</v>
      </c>
      <c r="B50" s="5" t="n">
        <f aca="false">B49+1</f>
        <v>46372</v>
      </c>
      <c r="C50" s="17" t="str">
        <f aca="false">CHOOSE(WEEKDAY(B50,2),"Lun","Mar","Mié","Jue","Vie","Sáb","Dom")</f>
        <v>Mié</v>
      </c>
      <c r="D50" s="17" t="str">
        <f aca="false">INDEX(Calendario!$D$5:$D$33,A50)</f>
        <v>FSA</v>
      </c>
      <c r="E50" s="17" t="str">
        <f aca="false">INDEX(Rutina!$D$5:$D$11,WEEKDAY(B50,2))</f>
        <v>Q</v>
      </c>
      <c r="F50" s="7" t="n">
        <f aca="false">IF(B50&gt;Panel!$B$5,0,MAX(0,INDEX(Rutina!$B$5:$B$11,WEEKDAY(B50,2))*(1-MIN(1,SUMPRODUCT((Eventos!$A$5:$A$40&lt;=B50)*(Eventos!$B$5:$B$40&gt;=B50)*Eventos!$D$5:$D$40)))+SUMPRODUCT((Eventos!$A$5:$A$40&lt;=B50)*(Eventos!$B$5:$B$40&gt;=B50)*Eventos!$E$5:$E$40)))</f>
        <v>1</v>
      </c>
      <c r="G50" s="18"/>
      <c r="H50" s="7" t="str">
        <f aca="false">IF(G50="","",G50*Panel!$B$8)</f>
        <v/>
      </c>
      <c r="I50" s="18"/>
      <c r="J50" s="18"/>
      <c r="K50" s="18"/>
      <c r="L50" s="8"/>
      <c r="M50" s="17" t="str">
        <f aca="false">IF(L50="","",IF(OR(WEEKDAY(B50,2)=5,WEEKDAY(B50,2)=6),"—",IF(AND(L50&gt;=0.5,L50&lt;=Panel!$B$11),"Sí","No")))</f>
        <v/>
      </c>
      <c r="N50" s="18"/>
    </row>
    <row r="51" customFormat="false" ht="15" hidden="false" customHeight="false" outlineLevel="0" collapsed="false">
      <c r="A51" s="17" t="n">
        <f aca="false">INT((B51-Panel!$B$4)/7)+1</f>
        <v>7</v>
      </c>
      <c r="B51" s="5" t="n">
        <f aca="false">B50+1</f>
        <v>46373</v>
      </c>
      <c r="C51" s="17" t="str">
        <f aca="false">CHOOSE(WEEKDAY(B51,2),"Lun","Mar","Mié","Jue","Vie","Sáb","Dom")</f>
        <v>Jue</v>
      </c>
      <c r="D51" s="17" t="str">
        <f aca="false">INDEX(Calendario!$D$5:$D$33,A51)</f>
        <v>FSA</v>
      </c>
      <c r="E51" s="17" t="str">
        <f aca="false">INDEX(Rutina!$D$5:$D$11,WEEKDAY(B51,2))</f>
        <v>Q</v>
      </c>
      <c r="F51" s="7" t="n">
        <f aca="false">IF(B51&gt;Panel!$B$5,0,MAX(0,INDEX(Rutina!$B$5:$B$11,WEEKDAY(B51,2))*(1-MIN(1,SUMPRODUCT((Eventos!$A$5:$A$40&lt;=B51)*(Eventos!$B$5:$B$40&gt;=B51)*Eventos!$D$5:$D$40)))+SUMPRODUCT((Eventos!$A$5:$A$40&lt;=B51)*(Eventos!$B$5:$B$40&gt;=B51)*Eventos!$E$5:$E$40)))</f>
        <v>1</v>
      </c>
      <c r="G51" s="18"/>
      <c r="H51" s="7" t="str">
        <f aca="false">IF(G51="","",G51*Panel!$B$8)</f>
        <v/>
      </c>
      <c r="I51" s="18"/>
      <c r="J51" s="18"/>
      <c r="K51" s="18"/>
      <c r="L51" s="8"/>
      <c r="M51" s="17" t="str">
        <f aca="false">IF(L51="","",IF(OR(WEEKDAY(B51,2)=5,WEEKDAY(B51,2)=6),"—",IF(AND(L51&gt;=0.5,L51&lt;=Panel!$B$11),"Sí","No")))</f>
        <v/>
      </c>
      <c r="N51" s="18"/>
    </row>
    <row r="52" customFormat="false" ht="15" hidden="false" customHeight="false" outlineLevel="0" collapsed="false">
      <c r="A52" s="17" t="n">
        <f aca="false">INT((B52-Panel!$B$4)/7)+1</f>
        <v>7</v>
      </c>
      <c r="B52" s="5" t="n">
        <f aca="false">B51+1</f>
        <v>46374</v>
      </c>
      <c r="C52" s="17" t="str">
        <f aca="false">CHOOSE(WEEKDAY(B52,2),"Lun","Mar","Mié","Jue","Vie","Sáb","Dom")</f>
        <v>Vie</v>
      </c>
      <c r="D52" s="17" t="str">
        <f aca="false">INDEX(Calendario!$D$5:$D$33,A52)</f>
        <v>FSA</v>
      </c>
      <c r="E52" s="17" t="str">
        <f aca="false">INDEX(Rutina!$D$5:$D$11,WEEKDAY(B52,2))</f>
        <v>L + Q</v>
      </c>
      <c r="F52" s="7" t="n">
        <f aca="false">IF(B52&gt;Panel!$B$5,0,MAX(0,INDEX(Rutina!$B$5:$B$11,WEEKDAY(B52,2))*(1-MIN(1,SUMPRODUCT((Eventos!$A$5:$A$40&lt;=B52)*(Eventos!$B$5:$B$40&gt;=B52)*Eventos!$D$5:$D$40)))+SUMPRODUCT((Eventos!$A$5:$A$40&lt;=B52)*(Eventos!$B$5:$B$40&gt;=B52)*Eventos!$E$5:$E$40)))</f>
        <v>2</v>
      </c>
      <c r="G52" s="18"/>
      <c r="H52" s="7" t="str">
        <f aca="false">IF(G52="","",G52*Panel!$B$8)</f>
        <v/>
      </c>
      <c r="I52" s="18"/>
      <c r="J52" s="18"/>
      <c r="K52" s="18"/>
      <c r="L52" s="8"/>
      <c r="M52" s="17" t="str">
        <f aca="false">IF(L52="","",IF(OR(WEEKDAY(B52,2)=5,WEEKDAY(B52,2)=6),"—",IF(AND(L52&gt;=0.5,L52&lt;=Panel!$B$11),"Sí","No")))</f>
        <v/>
      </c>
      <c r="N52" s="18"/>
    </row>
    <row r="53" customFormat="false" ht="15" hidden="false" customHeight="false" outlineLevel="0" collapsed="false">
      <c r="A53" s="17" t="n">
        <f aca="false">INT((B53-Panel!$B$4)/7)+1</f>
        <v>7</v>
      </c>
      <c r="B53" s="5" t="n">
        <f aca="false">B52+1</f>
        <v>46375</v>
      </c>
      <c r="C53" s="17" t="str">
        <f aca="false">CHOOSE(WEEKDAY(B53,2),"Lun","Mar","Mié","Jue","Vie","Sáb","Dom")</f>
        <v>Sáb</v>
      </c>
      <c r="D53" s="17" t="str">
        <f aca="false">INDEX(Calendario!$D$5:$D$33,A53)</f>
        <v>FSA</v>
      </c>
      <c r="E53" s="17" t="str">
        <f aca="false">INDEX(Rutina!$D$5:$D$11,WEEKDAY(B53,2))</f>
        <v>L + R</v>
      </c>
      <c r="F53" s="7" t="n">
        <f aca="false">IF(B53&gt;Panel!$B$5,0,MAX(0,INDEX(Rutina!$B$5:$B$11,WEEKDAY(B53,2))*(1-MIN(1,SUMPRODUCT((Eventos!$A$5:$A$40&lt;=B53)*(Eventos!$B$5:$B$40&gt;=B53)*Eventos!$D$5:$D$40)))+SUMPRODUCT((Eventos!$A$5:$A$40&lt;=B53)*(Eventos!$B$5:$B$40&gt;=B53)*Eventos!$E$5:$E$40)))</f>
        <v>2</v>
      </c>
      <c r="G53" s="18"/>
      <c r="H53" s="7" t="str">
        <f aca="false">IF(G53="","",G53*Panel!$B$8)</f>
        <v/>
      </c>
      <c r="I53" s="18"/>
      <c r="J53" s="18"/>
      <c r="K53" s="18"/>
      <c r="L53" s="8"/>
      <c r="M53" s="17" t="str">
        <f aca="false">IF(L53="","",IF(OR(WEEKDAY(B53,2)=5,WEEKDAY(B53,2)=6),"—",IF(AND(L53&gt;=0.5,L53&lt;=Panel!$B$11),"Sí","No")))</f>
        <v/>
      </c>
      <c r="N53" s="18"/>
    </row>
    <row r="54" customFormat="false" ht="15" hidden="false" customHeight="false" outlineLevel="0" collapsed="false">
      <c r="A54" s="17" t="n">
        <f aca="false">INT((B54-Panel!$B$4)/7)+1</f>
        <v>7</v>
      </c>
      <c r="B54" s="5" t="n">
        <f aca="false">B53+1</f>
        <v>46376</v>
      </c>
      <c r="C54" s="17" t="str">
        <f aca="false">CHOOSE(WEEKDAY(B54,2),"Lun","Mar","Mié","Jue","Vie","Sáb","Dom")</f>
        <v>Dom</v>
      </c>
      <c r="D54" s="17" t="str">
        <f aca="false">INDEX(Calendario!$D$5:$D$33,A54)</f>
        <v>FSA</v>
      </c>
      <c r="E54" s="17" t="str">
        <f aca="false">INDEX(Rutina!$D$5:$D$11,WEEKDAY(B54,2))</f>
        <v>V + F</v>
      </c>
      <c r="F54" s="7" t="n">
        <f aca="false">IF(B54&gt;Panel!$B$5,0,MAX(0,INDEX(Rutina!$B$5:$B$11,WEEKDAY(B54,2))*(1-MIN(1,SUMPRODUCT((Eventos!$A$5:$A$40&lt;=B54)*(Eventos!$B$5:$B$40&gt;=B54)*Eventos!$D$5:$D$40)))+SUMPRODUCT((Eventos!$A$5:$A$40&lt;=B54)*(Eventos!$B$5:$B$40&gt;=B54)*Eventos!$E$5:$E$40)))</f>
        <v>2</v>
      </c>
      <c r="G54" s="18"/>
      <c r="H54" s="7" t="str">
        <f aca="false">IF(G54="","",G54*Panel!$B$8)</f>
        <v/>
      </c>
      <c r="I54" s="18"/>
      <c r="J54" s="18"/>
      <c r="K54" s="18"/>
      <c r="L54" s="8"/>
      <c r="M54" s="17" t="str">
        <f aca="false">IF(L54="","",IF(OR(WEEKDAY(B54,2)=5,WEEKDAY(B54,2)=6),"—",IF(AND(L54&gt;=0.5,L54&lt;=Panel!$B$11),"Sí","No")))</f>
        <v/>
      </c>
      <c r="N54" s="18"/>
    </row>
    <row r="55" customFormat="false" ht="15" hidden="false" customHeight="false" outlineLevel="0" collapsed="false">
      <c r="A55" s="17" t="n">
        <f aca="false">INT((B55-Panel!$B$4)/7)+1</f>
        <v>8</v>
      </c>
      <c r="B55" s="5" t="n">
        <f aca="false">B54+1</f>
        <v>46377</v>
      </c>
      <c r="C55" s="17" t="str">
        <f aca="false">CHOOSE(WEEKDAY(B55,2),"Lun","Mar","Mié","Jue","Vie","Sáb","Dom")</f>
        <v>Lun</v>
      </c>
      <c r="D55" s="17" t="str">
        <f aca="false">INDEX(Calendario!$D$5:$D$33,A55)</f>
        <v>Corporate Issuers</v>
      </c>
      <c r="E55" s="17" t="str">
        <f aca="false">INDEX(Rutina!$D$5:$D$11,WEEKDAY(B55,2))</f>
        <v>R</v>
      </c>
      <c r="F55" s="7" t="n">
        <f aca="false">IF(B55&gt;Panel!$B$5,0,MAX(0,INDEX(Rutina!$B$5:$B$11,WEEKDAY(B55,2))*(1-MIN(1,SUMPRODUCT((Eventos!$A$5:$A$40&lt;=B55)*(Eventos!$B$5:$B$40&gt;=B55)*Eventos!$D$5:$D$40)))+SUMPRODUCT((Eventos!$A$5:$A$40&lt;=B55)*(Eventos!$B$5:$B$40&gt;=B55)*Eventos!$E$5:$E$40)))</f>
        <v>1</v>
      </c>
      <c r="G55" s="18"/>
      <c r="H55" s="7" t="str">
        <f aca="false">IF(G55="","",G55*Panel!$B$8)</f>
        <v/>
      </c>
      <c r="I55" s="18"/>
      <c r="J55" s="18"/>
      <c r="K55" s="18"/>
      <c r="L55" s="8"/>
      <c r="M55" s="17" t="str">
        <f aca="false">IF(L55="","",IF(OR(WEEKDAY(B55,2)=5,WEEKDAY(B55,2)=6),"—",IF(AND(L55&gt;=0.5,L55&lt;=Panel!$B$11),"Sí","No")))</f>
        <v/>
      </c>
      <c r="N55" s="18"/>
    </row>
    <row r="56" customFormat="false" ht="15" hidden="false" customHeight="false" outlineLevel="0" collapsed="false">
      <c r="A56" s="17" t="n">
        <f aca="false">INT((B56-Panel!$B$4)/7)+1</f>
        <v>8</v>
      </c>
      <c r="B56" s="5" t="n">
        <f aca="false">B55+1</f>
        <v>46378</v>
      </c>
      <c r="C56" s="17" t="str">
        <f aca="false">CHOOSE(WEEKDAY(B56,2),"Lun","Mar","Mié","Jue","Vie","Sáb","Dom")</f>
        <v>Mar</v>
      </c>
      <c r="D56" s="17" t="str">
        <f aca="false">INDEX(Calendario!$D$5:$D$33,A56)</f>
        <v>Corporate Issuers</v>
      </c>
      <c r="E56" s="17" t="str">
        <f aca="false">INDEX(Rutina!$D$5:$D$11,WEEKDAY(B56,2))</f>
        <v>R</v>
      </c>
      <c r="F56" s="7" t="n">
        <f aca="false">IF(B56&gt;Panel!$B$5,0,MAX(0,INDEX(Rutina!$B$5:$B$11,WEEKDAY(B56,2))*(1-MIN(1,SUMPRODUCT((Eventos!$A$5:$A$40&lt;=B56)*(Eventos!$B$5:$B$40&gt;=B56)*Eventos!$D$5:$D$40)))+SUMPRODUCT((Eventos!$A$5:$A$40&lt;=B56)*(Eventos!$B$5:$B$40&gt;=B56)*Eventos!$E$5:$E$40)))</f>
        <v>1</v>
      </c>
      <c r="G56" s="18"/>
      <c r="H56" s="7" t="str">
        <f aca="false">IF(G56="","",G56*Panel!$B$8)</f>
        <v/>
      </c>
      <c r="I56" s="18"/>
      <c r="J56" s="18"/>
      <c r="K56" s="18"/>
      <c r="L56" s="8"/>
      <c r="M56" s="17" t="str">
        <f aca="false">IF(L56="","",IF(OR(WEEKDAY(B56,2)=5,WEEKDAY(B56,2)=6),"—",IF(AND(L56&gt;=0.5,L56&lt;=Panel!$B$11),"Sí","No")))</f>
        <v/>
      </c>
      <c r="N56" s="18"/>
    </row>
    <row r="57" customFormat="false" ht="15" hidden="false" customHeight="false" outlineLevel="0" collapsed="false">
      <c r="A57" s="17" t="n">
        <f aca="false">INT((B57-Panel!$B$4)/7)+1</f>
        <v>8</v>
      </c>
      <c r="B57" s="5" t="n">
        <f aca="false">B56+1</f>
        <v>46379</v>
      </c>
      <c r="C57" s="17" t="str">
        <f aca="false">CHOOSE(WEEKDAY(B57,2),"Lun","Mar","Mié","Jue","Vie","Sáb","Dom")</f>
        <v>Mié</v>
      </c>
      <c r="D57" s="17" t="str">
        <f aca="false">INDEX(Calendario!$D$5:$D$33,A57)</f>
        <v>Corporate Issuers</v>
      </c>
      <c r="E57" s="17" t="str">
        <f aca="false">INDEX(Rutina!$D$5:$D$11,WEEKDAY(B57,2))</f>
        <v>Q</v>
      </c>
      <c r="F57" s="7" t="n">
        <f aca="false">IF(B57&gt;Panel!$B$5,0,MAX(0,INDEX(Rutina!$B$5:$B$11,WEEKDAY(B57,2))*(1-MIN(1,SUMPRODUCT((Eventos!$A$5:$A$40&lt;=B57)*(Eventos!$B$5:$B$40&gt;=B57)*Eventos!$D$5:$D$40)))+SUMPRODUCT((Eventos!$A$5:$A$40&lt;=B57)*(Eventos!$B$5:$B$40&gt;=B57)*Eventos!$E$5:$E$40)))</f>
        <v>1</v>
      </c>
      <c r="G57" s="18"/>
      <c r="H57" s="7" t="str">
        <f aca="false">IF(G57="","",G57*Panel!$B$8)</f>
        <v/>
      </c>
      <c r="I57" s="18"/>
      <c r="J57" s="18"/>
      <c r="K57" s="18"/>
      <c r="L57" s="8"/>
      <c r="M57" s="17" t="str">
        <f aca="false">IF(L57="","",IF(OR(WEEKDAY(B57,2)=5,WEEKDAY(B57,2)=6),"—",IF(AND(L57&gt;=0.5,L57&lt;=Panel!$B$11),"Sí","No")))</f>
        <v/>
      </c>
      <c r="N57" s="18"/>
    </row>
    <row r="58" customFormat="false" ht="15" hidden="false" customHeight="false" outlineLevel="0" collapsed="false">
      <c r="A58" s="17" t="n">
        <f aca="false">INT((B58-Panel!$B$4)/7)+1</f>
        <v>8</v>
      </c>
      <c r="B58" s="5" t="n">
        <f aca="false">B57+1</f>
        <v>46380</v>
      </c>
      <c r="C58" s="17" t="str">
        <f aca="false">CHOOSE(WEEKDAY(B58,2),"Lun","Mar","Mié","Jue","Vie","Sáb","Dom")</f>
        <v>Jue</v>
      </c>
      <c r="D58" s="17" t="str">
        <f aca="false">INDEX(Calendario!$D$5:$D$33,A58)</f>
        <v>Corporate Issuers</v>
      </c>
      <c r="E58" s="17" t="str">
        <f aca="false">INDEX(Rutina!$D$5:$D$11,WEEKDAY(B58,2))</f>
        <v>Q</v>
      </c>
      <c r="F58" s="7" t="n">
        <f aca="false">IF(B58&gt;Panel!$B$5,0,MAX(0,INDEX(Rutina!$B$5:$B$11,WEEKDAY(B58,2))*(1-MIN(1,SUMPRODUCT((Eventos!$A$5:$A$40&lt;=B58)*(Eventos!$B$5:$B$40&gt;=B58)*Eventos!$D$5:$D$40)))+SUMPRODUCT((Eventos!$A$5:$A$40&lt;=B58)*(Eventos!$B$5:$B$40&gt;=B58)*Eventos!$E$5:$E$40)))</f>
        <v>0</v>
      </c>
      <c r="G58" s="18"/>
      <c r="H58" s="7" t="str">
        <f aca="false">IF(G58="","",G58*Panel!$B$8)</f>
        <v/>
      </c>
      <c r="I58" s="18"/>
      <c r="J58" s="18"/>
      <c r="K58" s="18"/>
      <c r="L58" s="8"/>
      <c r="M58" s="17" t="str">
        <f aca="false">IF(L58="","",IF(OR(WEEKDAY(B58,2)=5,WEEKDAY(B58,2)=6),"—",IF(AND(L58&gt;=0.5,L58&lt;=Panel!$B$11),"Sí","No")))</f>
        <v/>
      </c>
      <c r="N58" s="18"/>
    </row>
    <row r="59" customFormat="false" ht="15" hidden="false" customHeight="false" outlineLevel="0" collapsed="false">
      <c r="A59" s="17" t="n">
        <f aca="false">INT((B59-Panel!$B$4)/7)+1</f>
        <v>8</v>
      </c>
      <c r="B59" s="5" t="n">
        <f aca="false">B58+1</f>
        <v>46381</v>
      </c>
      <c r="C59" s="17" t="str">
        <f aca="false">CHOOSE(WEEKDAY(B59,2),"Lun","Mar","Mié","Jue","Vie","Sáb","Dom")</f>
        <v>Vie</v>
      </c>
      <c r="D59" s="17" t="str">
        <f aca="false">INDEX(Calendario!$D$5:$D$33,A59)</f>
        <v>Corporate Issuers</v>
      </c>
      <c r="E59" s="17" t="str">
        <f aca="false">INDEX(Rutina!$D$5:$D$11,WEEKDAY(B59,2))</f>
        <v>L + Q</v>
      </c>
      <c r="F59" s="7" t="n">
        <f aca="false">IF(B59&gt;Panel!$B$5,0,MAX(0,INDEX(Rutina!$B$5:$B$11,WEEKDAY(B59,2))*(1-MIN(1,SUMPRODUCT((Eventos!$A$5:$A$40&lt;=B59)*(Eventos!$B$5:$B$40&gt;=B59)*Eventos!$D$5:$D$40)))+SUMPRODUCT((Eventos!$A$5:$A$40&lt;=B59)*(Eventos!$B$5:$B$40&gt;=B59)*Eventos!$E$5:$E$40)))</f>
        <v>0</v>
      </c>
      <c r="G59" s="18"/>
      <c r="H59" s="7" t="str">
        <f aca="false">IF(G59="","",G59*Panel!$B$8)</f>
        <v/>
      </c>
      <c r="I59" s="18"/>
      <c r="J59" s="18"/>
      <c r="K59" s="18"/>
      <c r="L59" s="8"/>
      <c r="M59" s="17" t="str">
        <f aca="false">IF(L59="","",IF(OR(WEEKDAY(B59,2)=5,WEEKDAY(B59,2)=6),"—",IF(AND(L59&gt;=0.5,L59&lt;=Panel!$B$11),"Sí","No")))</f>
        <v/>
      </c>
      <c r="N59" s="18"/>
    </row>
    <row r="60" customFormat="false" ht="15" hidden="false" customHeight="false" outlineLevel="0" collapsed="false">
      <c r="A60" s="17" t="n">
        <f aca="false">INT((B60-Panel!$B$4)/7)+1</f>
        <v>8</v>
      </c>
      <c r="B60" s="5" t="n">
        <f aca="false">B59+1</f>
        <v>46382</v>
      </c>
      <c r="C60" s="17" t="str">
        <f aca="false">CHOOSE(WEEKDAY(B60,2),"Lun","Mar","Mié","Jue","Vie","Sáb","Dom")</f>
        <v>Sáb</v>
      </c>
      <c r="D60" s="17" t="str">
        <f aca="false">INDEX(Calendario!$D$5:$D$33,A60)</f>
        <v>Corporate Issuers</v>
      </c>
      <c r="E60" s="17" t="str">
        <f aca="false">INDEX(Rutina!$D$5:$D$11,WEEKDAY(B60,2))</f>
        <v>L + R</v>
      </c>
      <c r="F60" s="7" t="n">
        <f aca="false">IF(B60&gt;Panel!$B$5,0,MAX(0,INDEX(Rutina!$B$5:$B$11,WEEKDAY(B60,2))*(1-MIN(1,SUMPRODUCT((Eventos!$A$5:$A$40&lt;=B60)*(Eventos!$B$5:$B$40&gt;=B60)*Eventos!$D$5:$D$40)))+SUMPRODUCT((Eventos!$A$5:$A$40&lt;=B60)*(Eventos!$B$5:$B$40&gt;=B60)*Eventos!$E$5:$E$40)))</f>
        <v>2</v>
      </c>
      <c r="G60" s="18"/>
      <c r="H60" s="7" t="str">
        <f aca="false">IF(G60="","",G60*Panel!$B$8)</f>
        <v/>
      </c>
      <c r="I60" s="18"/>
      <c r="J60" s="18"/>
      <c r="K60" s="18"/>
      <c r="L60" s="8"/>
      <c r="M60" s="17" t="str">
        <f aca="false">IF(L60="","",IF(OR(WEEKDAY(B60,2)=5,WEEKDAY(B60,2)=6),"—",IF(AND(L60&gt;=0.5,L60&lt;=Panel!$B$11),"Sí","No")))</f>
        <v/>
      </c>
      <c r="N60" s="18"/>
    </row>
    <row r="61" customFormat="false" ht="15" hidden="false" customHeight="false" outlineLevel="0" collapsed="false">
      <c r="A61" s="17" t="n">
        <f aca="false">INT((B61-Panel!$B$4)/7)+1</f>
        <v>8</v>
      </c>
      <c r="B61" s="5" t="n">
        <f aca="false">B60+1</f>
        <v>46383</v>
      </c>
      <c r="C61" s="17" t="str">
        <f aca="false">CHOOSE(WEEKDAY(B61,2),"Lun","Mar","Mié","Jue","Vie","Sáb","Dom")</f>
        <v>Dom</v>
      </c>
      <c r="D61" s="17" t="str">
        <f aca="false">INDEX(Calendario!$D$5:$D$33,A61)</f>
        <v>Corporate Issuers</v>
      </c>
      <c r="E61" s="17" t="str">
        <f aca="false">INDEX(Rutina!$D$5:$D$11,WEEKDAY(B61,2))</f>
        <v>V + F</v>
      </c>
      <c r="F61" s="7" t="n">
        <f aca="false">IF(B61&gt;Panel!$B$5,0,MAX(0,INDEX(Rutina!$B$5:$B$11,WEEKDAY(B61,2))*(1-MIN(1,SUMPRODUCT((Eventos!$A$5:$A$40&lt;=B61)*(Eventos!$B$5:$B$40&gt;=B61)*Eventos!$D$5:$D$40)))+SUMPRODUCT((Eventos!$A$5:$A$40&lt;=B61)*(Eventos!$B$5:$B$40&gt;=B61)*Eventos!$E$5:$E$40)))</f>
        <v>2</v>
      </c>
      <c r="G61" s="18"/>
      <c r="H61" s="7" t="str">
        <f aca="false">IF(G61="","",G61*Panel!$B$8)</f>
        <v/>
      </c>
      <c r="I61" s="18"/>
      <c r="J61" s="18"/>
      <c r="K61" s="18"/>
      <c r="L61" s="8"/>
      <c r="M61" s="17" t="str">
        <f aca="false">IF(L61="","",IF(OR(WEEKDAY(B61,2)=5,WEEKDAY(B61,2)=6),"—",IF(AND(L61&gt;=0.5,L61&lt;=Panel!$B$11),"Sí","No")))</f>
        <v/>
      </c>
      <c r="N61" s="18"/>
    </row>
    <row r="62" customFormat="false" ht="15" hidden="false" customHeight="false" outlineLevel="0" collapsed="false">
      <c r="A62" s="17" t="n">
        <f aca="false">INT((B62-Panel!$B$4)/7)+1</f>
        <v>9</v>
      </c>
      <c r="B62" s="5" t="n">
        <f aca="false">B61+1</f>
        <v>46384</v>
      </c>
      <c r="C62" s="17" t="str">
        <f aca="false">CHOOSE(WEEKDAY(B62,2),"Lun","Mar","Mié","Jue","Vie","Sáb","Dom")</f>
        <v>Lun</v>
      </c>
      <c r="D62" s="17" t="str">
        <f aca="false">INDEX(Calendario!$D$5:$D$33,A62)</f>
        <v>Corporate Issuers</v>
      </c>
      <c r="E62" s="17" t="str">
        <f aca="false">INDEX(Rutina!$D$5:$D$11,WEEKDAY(B62,2))</f>
        <v>R</v>
      </c>
      <c r="F62" s="7" t="n">
        <f aca="false">IF(B62&gt;Panel!$B$5,0,MAX(0,INDEX(Rutina!$B$5:$B$11,WEEKDAY(B62,2))*(1-MIN(1,SUMPRODUCT((Eventos!$A$5:$A$40&lt;=B62)*(Eventos!$B$5:$B$40&gt;=B62)*Eventos!$D$5:$D$40)))+SUMPRODUCT((Eventos!$A$5:$A$40&lt;=B62)*(Eventos!$B$5:$B$40&gt;=B62)*Eventos!$E$5:$E$40)))</f>
        <v>1</v>
      </c>
      <c r="G62" s="18"/>
      <c r="H62" s="7" t="str">
        <f aca="false">IF(G62="","",G62*Panel!$B$8)</f>
        <v/>
      </c>
      <c r="I62" s="18"/>
      <c r="J62" s="18"/>
      <c r="K62" s="18"/>
      <c r="L62" s="8"/>
      <c r="M62" s="17" t="str">
        <f aca="false">IF(L62="","",IF(OR(WEEKDAY(B62,2)=5,WEEKDAY(B62,2)=6),"—",IF(AND(L62&gt;=0.5,L62&lt;=Panel!$B$11),"Sí","No")))</f>
        <v/>
      </c>
      <c r="N62" s="18"/>
    </row>
    <row r="63" customFormat="false" ht="15" hidden="false" customHeight="false" outlineLevel="0" collapsed="false">
      <c r="A63" s="17" t="n">
        <f aca="false">INT((B63-Panel!$B$4)/7)+1</f>
        <v>9</v>
      </c>
      <c r="B63" s="5" t="n">
        <f aca="false">B62+1</f>
        <v>46385</v>
      </c>
      <c r="C63" s="17" t="str">
        <f aca="false">CHOOSE(WEEKDAY(B63,2),"Lun","Mar","Mié","Jue","Vie","Sáb","Dom")</f>
        <v>Mar</v>
      </c>
      <c r="D63" s="17" t="str">
        <f aca="false">INDEX(Calendario!$D$5:$D$33,A63)</f>
        <v>Corporate Issuers</v>
      </c>
      <c r="E63" s="17" t="str">
        <f aca="false">INDEX(Rutina!$D$5:$D$11,WEEKDAY(B63,2))</f>
        <v>R</v>
      </c>
      <c r="F63" s="7" t="n">
        <f aca="false">IF(B63&gt;Panel!$B$5,0,MAX(0,INDEX(Rutina!$B$5:$B$11,WEEKDAY(B63,2))*(1-MIN(1,SUMPRODUCT((Eventos!$A$5:$A$40&lt;=B63)*(Eventos!$B$5:$B$40&gt;=B63)*Eventos!$D$5:$D$40)))+SUMPRODUCT((Eventos!$A$5:$A$40&lt;=B63)*(Eventos!$B$5:$B$40&gt;=B63)*Eventos!$E$5:$E$40)))</f>
        <v>1</v>
      </c>
      <c r="G63" s="18"/>
      <c r="H63" s="7" t="str">
        <f aca="false">IF(G63="","",G63*Panel!$B$8)</f>
        <v/>
      </c>
      <c r="I63" s="18"/>
      <c r="J63" s="18"/>
      <c r="K63" s="18"/>
      <c r="L63" s="8"/>
      <c r="M63" s="17" t="str">
        <f aca="false">IF(L63="","",IF(OR(WEEKDAY(B63,2)=5,WEEKDAY(B63,2)=6),"—",IF(AND(L63&gt;=0.5,L63&lt;=Panel!$B$11),"Sí","No")))</f>
        <v/>
      </c>
      <c r="N63" s="18"/>
    </row>
    <row r="64" customFormat="false" ht="15" hidden="false" customHeight="false" outlineLevel="0" collapsed="false">
      <c r="A64" s="17" t="n">
        <f aca="false">INT((B64-Panel!$B$4)/7)+1</f>
        <v>9</v>
      </c>
      <c r="B64" s="5" t="n">
        <f aca="false">B63+1</f>
        <v>46386</v>
      </c>
      <c r="C64" s="17" t="str">
        <f aca="false">CHOOSE(WEEKDAY(B64,2),"Lun","Mar","Mié","Jue","Vie","Sáb","Dom")</f>
        <v>Mié</v>
      </c>
      <c r="D64" s="17" t="str">
        <f aca="false">INDEX(Calendario!$D$5:$D$33,A64)</f>
        <v>Corporate Issuers</v>
      </c>
      <c r="E64" s="17" t="str">
        <f aca="false">INDEX(Rutina!$D$5:$D$11,WEEKDAY(B64,2))</f>
        <v>Q</v>
      </c>
      <c r="F64" s="7" t="n">
        <f aca="false">IF(B64&gt;Panel!$B$5,0,MAX(0,INDEX(Rutina!$B$5:$B$11,WEEKDAY(B64,2))*(1-MIN(1,SUMPRODUCT((Eventos!$A$5:$A$40&lt;=B64)*(Eventos!$B$5:$B$40&gt;=B64)*Eventos!$D$5:$D$40)))+SUMPRODUCT((Eventos!$A$5:$A$40&lt;=B64)*(Eventos!$B$5:$B$40&gt;=B64)*Eventos!$E$5:$E$40)))</f>
        <v>1</v>
      </c>
      <c r="G64" s="18"/>
      <c r="H64" s="7" t="str">
        <f aca="false">IF(G64="","",G64*Panel!$B$8)</f>
        <v/>
      </c>
      <c r="I64" s="18"/>
      <c r="J64" s="18"/>
      <c r="K64" s="18"/>
      <c r="L64" s="8"/>
      <c r="M64" s="17" t="str">
        <f aca="false">IF(L64="","",IF(OR(WEEKDAY(B64,2)=5,WEEKDAY(B64,2)=6),"—",IF(AND(L64&gt;=0.5,L64&lt;=Panel!$B$11),"Sí","No")))</f>
        <v/>
      </c>
      <c r="N64" s="18"/>
    </row>
    <row r="65" customFormat="false" ht="15" hidden="false" customHeight="false" outlineLevel="0" collapsed="false">
      <c r="A65" s="17" t="n">
        <f aca="false">INT((B65-Panel!$B$4)/7)+1</f>
        <v>9</v>
      </c>
      <c r="B65" s="5" t="n">
        <f aca="false">B64+1</f>
        <v>46387</v>
      </c>
      <c r="C65" s="17" t="str">
        <f aca="false">CHOOSE(WEEKDAY(B65,2),"Lun","Mar","Mié","Jue","Vie","Sáb","Dom")</f>
        <v>Jue</v>
      </c>
      <c r="D65" s="17" t="str">
        <f aca="false">INDEX(Calendario!$D$5:$D$33,A65)</f>
        <v>Corporate Issuers</v>
      </c>
      <c r="E65" s="17" t="str">
        <f aca="false">INDEX(Rutina!$D$5:$D$11,WEEKDAY(B65,2))</f>
        <v>Q</v>
      </c>
      <c r="F65" s="7" t="n">
        <f aca="false">IF(B65&gt;Panel!$B$5,0,MAX(0,INDEX(Rutina!$B$5:$B$11,WEEKDAY(B65,2))*(1-MIN(1,SUMPRODUCT((Eventos!$A$5:$A$40&lt;=B65)*(Eventos!$B$5:$B$40&gt;=B65)*Eventos!$D$5:$D$40)))+SUMPRODUCT((Eventos!$A$5:$A$40&lt;=B65)*(Eventos!$B$5:$B$40&gt;=B65)*Eventos!$E$5:$E$40)))</f>
        <v>0</v>
      </c>
      <c r="G65" s="18"/>
      <c r="H65" s="7" t="str">
        <f aca="false">IF(G65="","",G65*Panel!$B$8)</f>
        <v/>
      </c>
      <c r="I65" s="18"/>
      <c r="J65" s="18"/>
      <c r="K65" s="18"/>
      <c r="L65" s="8"/>
      <c r="M65" s="17" t="str">
        <f aca="false">IF(L65="","",IF(OR(WEEKDAY(B65,2)=5,WEEKDAY(B65,2)=6),"—",IF(AND(L65&gt;=0.5,L65&lt;=Panel!$B$11),"Sí","No")))</f>
        <v/>
      </c>
      <c r="N65" s="18"/>
    </row>
    <row r="66" customFormat="false" ht="15" hidden="false" customHeight="false" outlineLevel="0" collapsed="false">
      <c r="A66" s="17" t="n">
        <f aca="false">INT((B66-Panel!$B$4)/7)+1</f>
        <v>9</v>
      </c>
      <c r="B66" s="5" t="n">
        <f aca="false">B65+1</f>
        <v>46388</v>
      </c>
      <c r="C66" s="17" t="str">
        <f aca="false">CHOOSE(WEEKDAY(B66,2),"Lun","Mar","Mié","Jue","Vie","Sáb","Dom")</f>
        <v>Vie</v>
      </c>
      <c r="D66" s="17" t="str">
        <f aca="false">INDEX(Calendario!$D$5:$D$33,A66)</f>
        <v>Corporate Issuers</v>
      </c>
      <c r="E66" s="17" t="str">
        <f aca="false">INDEX(Rutina!$D$5:$D$11,WEEKDAY(B66,2))</f>
        <v>L + Q</v>
      </c>
      <c r="F66" s="7" t="n">
        <f aca="false">IF(B66&gt;Panel!$B$5,0,MAX(0,INDEX(Rutina!$B$5:$B$11,WEEKDAY(B66,2))*(1-MIN(1,SUMPRODUCT((Eventos!$A$5:$A$40&lt;=B66)*(Eventos!$B$5:$B$40&gt;=B66)*Eventos!$D$5:$D$40)))+SUMPRODUCT((Eventos!$A$5:$A$40&lt;=B66)*(Eventos!$B$5:$B$40&gt;=B66)*Eventos!$E$5:$E$40)))</f>
        <v>1</v>
      </c>
      <c r="G66" s="18"/>
      <c r="H66" s="7" t="str">
        <f aca="false">IF(G66="","",G66*Panel!$B$8)</f>
        <v/>
      </c>
      <c r="I66" s="18"/>
      <c r="J66" s="18"/>
      <c r="K66" s="18"/>
      <c r="L66" s="8"/>
      <c r="M66" s="17" t="str">
        <f aca="false">IF(L66="","",IF(OR(WEEKDAY(B66,2)=5,WEEKDAY(B66,2)=6),"—",IF(AND(L66&gt;=0.5,L66&lt;=Panel!$B$11),"Sí","No")))</f>
        <v/>
      </c>
      <c r="N66" s="18"/>
    </row>
    <row r="67" customFormat="false" ht="15" hidden="false" customHeight="false" outlineLevel="0" collapsed="false">
      <c r="A67" s="17" t="n">
        <f aca="false">INT((B67-Panel!$B$4)/7)+1</f>
        <v>9</v>
      </c>
      <c r="B67" s="5" t="n">
        <f aca="false">B66+1</f>
        <v>46389</v>
      </c>
      <c r="C67" s="17" t="str">
        <f aca="false">CHOOSE(WEEKDAY(B67,2),"Lun","Mar","Mié","Jue","Vie","Sáb","Dom")</f>
        <v>Sáb</v>
      </c>
      <c r="D67" s="17" t="str">
        <f aca="false">INDEX(Calendario!$D$5:$D$33,A67)</f>
        <v>Corporate Issuers</v>
      </c>
      <c r="E67" s="17" t="str">
        <f aca="false">INDEX(Rutina!$D$5:$D$11,WEEKDAY(B67,2))</f>
        <v>L + R</v>
      </c>
      <c r="F67" s="7" t="n">
        <f aca="false">IF(B67&gt;Panel!$B$5,0,MAX(0,INDEX(Rutina!$B$5:$B$11,WEEKDAY(B67,2))*(1-MIN(1,SUMPRODUCT((Eventos!$A$5:$A$40&lt;=B67)*(Eventos!$B$5:$B$40&gt;=B67)*Eventos!$D$5:$D$40)))+SUMPRODUCT((Eventos!$A$5:$A$40&lt;=B67)*(Eventos!$B$5:$B$40&gt;=B67)*Eventos!$E$5:$E$40)))</f>
        <v>2</v>
      </c>
      <c r="G67" s="18"/>
      <c r="H67" s="7" t="str">
        <f aca="false">IF(G67="","",G67*Panel!$B$8)</f>
        <v/>
      </c>
      <c r="I67" s="18"/>
      <c r="J67" s="18"/>
      <c r="K67" s="18"/>
      <c r="L67" s="8"/>
      <c r="M67" s="17" t="str">
        <f aca="false">IF(L67="","",IF(OR(WEEKDAY(B67,2)=5,WEEKDAY(B67,2)=6),"—",IF(AND(L67&gt;=0.5,L67&lt;=Panel!$B$11),"Sí","No")))</f>
        <v/>
      </c>
      <c r="N67" s="18"/>
    </row>
    <row r="68" customFormat="false" ht="15" hidden="false" customHeight="false" outlineLevel="0" collapsed="false">
      <c r="A68" s="17" t="n">
        <f aca="false">INT((B68-Panel!$B$4)/7)+1</f>
        <v>9</v>
      </c>
      <c r="B68" s="5" t="n">
        <f aca="false">B67+1</f>
        <v>46390</v>
      </c>
      <c r="C68" s="17" t="str">
        <f aca="false">CHOOSE(WEEKDAY(B68,2),"Lun","Mar","Mié","Jue","Vie","Sáb","Dom")</f>
        <v>Dom</v>
      </c>
      <c r="D68" s="17" t="str">
        <f aca="false">INDEX(Calendario!$D$5:$D$33,A68)</f>
        <v>Corporate Issuers</v>
      </c>
      <c r="E68" s="17" t="str">
        <f aca="false">INDEX(Rutina!$D$5:$D$11,WEEKDAY(B68,2))</f>
        <v>V + F</v>
      </c>
      <c r="F68" s="7" t="n">
        <f aca="false">IF(B68&gt;Panel!$B$5,0,MAX(0,INDEX(Rutina!$B$5:$B$11,WEEKDAY(B68,2))*(1-MIN(1,SUMPRODUCT((Eventos!$A$5:$A$40&lt;=B68)*(Eventos!$B$5:$B$40&gt;=B68)*Eventos!$D$5:$D$40)))+SUMPRODUCT((Eventos!$A$5:$A$40&lt;=B68)*(Eventos!$B$5:$B$40&gt;=B68)*Eventos!$E$5:$E$40)))</f>
        <v>2</v>
      </c>
      <c r="G68" s="18"/>
      <c r="H68" s="7" t="str">
        <f aca="false">IF(G68="","",G68*Panel!$B$8)</f>
        <v/>
      </c>
      <c r="I68" s="18"/>
      <c r="J68" s="18"/>
      <c r="K68" s="18"/>
      <c r="L68" s="8"/>
      <c r="M68" s="17" t="str">
        <f aca="false">IF(L68="","",IF(OR(WEEKDAY(B68,2)=5,WEEKDAY(B68,2)=6),"—",IF(AND(L68&gt;=0.5,L68&lt;=Panel!$B$11),"Sí","No")))</f>
        <v/>
      </c>
      <c r="N68" s="18"/>
    </row>
    <row r="69" customFormat="false" ht="15" hidden="false" customHeight="false" outlineLevel="0" collapsed="false">
      <c r="A69" s="17" t="n">
        <f aca="false">INT((B69-Panel!$B$4)/7)+1</f>
        <v>10</v>
      </c>
      <c r="B69" s="5" t="n">
        <f aca="false">B68+1</f>
        <v>46391</v>
      </c>
      <c r="C69" s="17" t="str">
        <f aca="false">CHOOSE(WEEKDAY(B69,2),"Lun","Mar","Mié","Jue","Vie","Sáb","Dom")</f>
        <v>Lun</v>
      </c>
      <c r="D69" s="17" t="str">
        <f aca="false">INDEX(Calendario!$D$5:$D$33,A69)</f>
        <v>Equity</v>
      </c>
      <c r="E69" s="17" t="str">
        <f aca="false">INDEX(Rutina!$D$5:$D$11,WEEKDAY(B69,2))</f>
        <v>R</v>
      </c>
      <c r="F69" s="7" t="n">
        <f aca="false">IF(B69&gt;Panel!$B$5,0,MAX(0,INDEX(Rutina!$B$5:$B$11,WEEKDAY(B69,2))*(1-MIN(1,SUMPRODUCT((Eventos!$A$5:$A$40&lt;=B69)*(Eventos!$B$5:$B$40&gt;=B69)*Eventos!$D$5:$D$40)))+SUMPRODUCT((Eventos!$A$5:$A$40&lt;=B69)*(Eventos!$B$5:$B$40&gt;=B69)*Eventos!$E$5:$E$40)))</f>
        <v>1</v>
      </c>
      <c r="G69" s="18"/>
      <c r="H69" s="7" t="str">
        <f aca="false">IF(G69="","",G69*Panel!$B$8)</f>
        <v/>
      </c>
      <c r="I69" s="18"/>
      <c r="J69" s="18"/>
      <c r="K69" s="18"/>
      <c r="L69" s="8"/>
      <c r="M69" s="17" t="str">
        <f aca="false">IF(L69="","",IF(OR(WEEKDAY(B69,2)=5,WEEKDAY(B69,2)=6),"—",IF(AND(L69&gt;=0.5,L69&lt;=Panel!$B$11),"Sí","No")))</f>
        <v/>
      </c>
      <c r="N69" s="18"/>
    </row>
    <row r="70" customFormat="false" ht="15" hidden="false" customHeight="false" outlineLevel="0" collapsed="false">
      <c r="A70" s="17" t="n">
        <f aca="false">INT((B70-Panel!$B$4)/7)+1</f>
        <v>10</v>
      </c>
      <c r="B70" s="5" t="n">
        <f aca="false">B69+1</f>
        <v>46392</v>
      </c>
      <c r="C70" s="17" t="str">
        <f aca="false">CHOOSE(WEEKDAY(B70,2),"Lun","Mar","Mié","Jue","Vie","Sáb","Dom")</f>
        <v>Mar</v>
      </c>
      <c r="D70" s="17" t="str">
        <f aca="false">INDEX(Calendario!$D$5:$D$33,A70)</f>
        <v>Equity</v>
      </c>
      <c r="E70" s="17" t="str">
        <f aca="false">INDEX(Rutina!$D$5:$D$11,WEEKDAY(B70,2))</f>
        <v>R</v>
      </c>
      <c r="F70" s="7" t="n">
        <f aca="false">IF(B70&gt;Panel!$B$5,0,MAX(0,INDEX(Rutina!$B$5:$B$11,WEEKDAY(B70,2))*(1-MIN(1,SUMPRODUCT((Eventos!$A$5:$A$40&lt;=B70)*(Eventos!$B$5:$B$40&gt;=B70)*Eventos!$D$5:$D$40)))+SUMPRODUCT((Eventos!$A$5:$A$40&lt;=B70)*(Eventos!$B$5:$B$40&gt;=B70)*Eventos!$E$5:$E$40)))</f>
        <v>1</v>
      </c>
      <c r="G70" s="18"/>
      <c r="H70" s="7" t="str">
        <f aca="false">IF(G70="","",G70*Panel!$B$8)</f>
        <v/>
      </c>
      <c r="I70" s="18"/>
      <c r="J70" s="18"/>
      <c r="K70" s="18"/>
      <c r="L70" s="8"/>
      <c r="M70" s="17" t="str">
        <f aca="false">IF(L70="","",IF(OR(WEEKDAY(B70,2)=5,WEEKDAY(B70,2)=6),"—",IF(AND(L70&gt;=0.5,L70&lt;=Panel!$B$11),"Sí","No")))</f>
        <v/>
      </c>
      <c r="N70" s="18"/>
    </row>
    <row r="71" customFormat="false" ht="15" hidden="false" customHeight="false" outlineLevel="0" collapsed="false">
      <c r="A71" s="17" t="n">
        <f aca="false">INT((B71-Panel!$B$4)/7)+1</f>
        <v>10</v>
      </c>
      <c r="B71" s="5" t="n">
        <f aca="false">B70+1</f>
        <v>46393</v>
      </c>
      <c r="C71" s="17" t="str">
        <f aca="false">CHOOSE(WEEKDAY(B71,2),"Lun","Mar","Mié","Jue","Vie","Sáb","Dom")</f>
        <v>Mié</v>
      </c>
      <c r="D71" s="17" t="str">
        <f aca="false">INDEX(Calendario!$D$5:$D$33,A71)</f>
        <v>Equity</v>
      </c>
      <c r="E71" s="17" t="str">
        <f aca="false">INDEX(Rutina!$D$5:$D$11,WEEKDAY(B71,2))</f>
        <v>Q</v>
      </c>
      <c r="F71" s="7" t="n">
        <f aca="false">IF(B71&gt;Panel!$B$5,0,MAX(0,INDEX(Rutina!$B$5:$B$11,WEEKDAY(B71,2))*(1-MIN(1,SUMPRODUCT((Eventos!$A$5:$A$40&lt;=B71)*(Eventos!$B$5:$B$40&gt;=B71)*Eventos!$D$5:$D$40)))+SUMPRODUCT((Eventos!$A$5:$A$40&lt;=B71)*(Eventos!$B$5:$B$40&gt;=B71)*Eventos!$E$5:$E$40)))</f>
        <v>1</v>
      </c>
      <c r="G71" s="18"/>
      <c r="H71" s="7" t="str">
        <f aca="false">IF(G71="","",G71*Panel!$B$8)</f>
        <v/>
      </c>
      <c r="I71" s="18"/>
      <c r="J71" s="18"/>
      <c r="K71" s="18"/>
      <c r="L71" s="8"/>
      <c r="M71" s="17" t="str">
        <f aca="false">IF(L71="","",IF(OR(WEEKDAY(B71,2)=5,WEEKDAY(B71,2)=6),"—",IF(AND(L71&gt;=0.5,L71&lt;=Panel!$B$11),"Sí","No")))</f>
        <v/>
      </c>
      <c r="N71" s="18"/>
    </row>
    <row r="72" customFormat="false" ht="15" hidden="false" customHeight="false" outlineLevel="0" collapsed="false">
      <c r="A72" s="17" t="n">
        <f aca="false">INT((B72-Panel!$B$4)/7)+1</f>
        <v>10</v>
      </c>
      <c r="B72" s="5" t="n">
        <f aca="false">B71+1</f>
        <v>46394</v>
      </c>
      <c r="C72" s="17" t="str">
        <f aca="false">CHOOSE(WEEKDAY(B72,2),"Lun","Mar","Mié","Jue","Vie","Sáb","Dom")</f>
        <v>Jue</v>
      </c>
      <c r="D72" s="17" t="str">
        <f aca="false">INDEX(Calendario!$D$5:$D$33,A72)</f>
        <v>Equity</v>
      </c>
      <c r="E72" s="17" t="str">
        <f aca="false">INDEX(Rutina!$D$5:$D$11,WEEKDAY(B72,2))</f>
        <v>Q</v>
      </c>
      <c r="F72" s="7" t="n">
        <f aca="false">IF(B72&gt;Panel!$B$5,0,MAX(0,INDEX(Rutina!$B$5:$B$11,WEEKDAY(B72,2))*(1-MIN(1,SUMPRODUCT((Eventos!$A$5:$A$40&lt;=B72)*(Eventos!$B$5:$B$40&gt;=B72)*Eventos!$D$5:$D$40)))+SUMPRODUCT((Eventos!$A$5:$A$40&lt;=B72)*(Eventos!$B$5:$B$40&gt;=B72)*Eventos!$E$5:$E$40)))</f>
        <v>1</v>
      </c>
      <c r="G72" s="18"/>
      <c r="H72" s="7" t="str">
        <f aca="false">IF(G72="","",G72*Panel!$B$8)</f>
        <v/>
      </c>
      <c r="I72" s="18"/>
      <c r="J72" s="18"/>
      <c r="K72" s="18"/>
      <c r="L72" s="8"/>
      <c r="M72" s="17" t="str">
        <f aca="false">IF(L72="","",IF(OR(WEEKDAY(B72,2)=5,WEEKDAY(B72,2)=6),"—",IF(AND(L72&gt;=0.5,L72&lt;=Panel!$B$11),"Sí","No")))</f>
        <v/>
      </c>
      <c r="N72" s="18"/>
    </row>
    <row r="73" customFormat="false" ht="15" hidden="false" customHeight="false" outlineLevel="0" collapsed="false">
      <c r="A73" s="17" t="n">
        <f aca="false">INT((B73-Panel!$B$4)/7)+1</f>
        <v>10</v>
      </c>
      <c r="B73" s="5" t="n">
        <f aca="false">B72+1</f>
        <v>46395</v>
      </c>
      <c r="C73" s="17" t="str">
        <f aca="false">CHOOSE(WEEKDAY(B73,2),"Lun","Mar","Mié","Jue","Vie","Sáb","Dom")</f>
        <v>Vie</v>
      </c>
      <c r="D73" s="17" t="str">
        <f aca="false">INDEX(Calendario!$D$5:$D$33,A73)</f>
        <v>Equity</v>
      </c>
      <c r="E73" s="17" t="str">
        <f aca="false">INDEX(Rutina!$D$5:$D$11,WEEKDAY(B73,2))</f>
        <v>L + Q</v>
      </c>
      <c r="F73" s="7" t="n">
        <f aca="false">IF(B73&gt;Panel!$B$5,0,MAX(0,INDEX(Rutina!$B$5:$B$11,WEEKDAY(B73,2))*(1-MIN(1,SUMPRODUCT((Eventos!$A$5:$A$40&lt;=B73)*(Eventos!$B$5:$B$40&gt;=B73)*Eventos!$D$5:$D$40)))+SUMPRODUCT((Eventos!$A$5:$A$40&lt;=B73)*(Eventos!$B$5:$B$40&gt;=B73)*Eventos!$E$5:$E$40)))</f>
        <v>2</v>
      </c>
      <c r="G73" s="18"/>
      <c r="H73" s="7" t="str">
        <f aca="false">IF(G73="","",G73*Panel!$B$8)</f>
        <v/>
      </c>
      <c r="I73" s="18"/>
      <c r="J73" s="18"/>
      <c r="K73" s="18"/>
      <c r="L73" s="8"/>
      <c r="M73" s="17" t="str">
        <f aca="false">IF(L73="","",IF(OR(WEEKDAY(B73,2)=5,WEEKDAY(B73,2)=6),"—",IF(AND(L73&gt;=0.5,L73&lt;=Panel!$B$11),"Sí","No")))</f>
        <v/>
      </c>
      <c r="N73" s="18"/>
    </row>
    <row r="74" customFormat="false" ht="15" hidden="false" customHeight="false" outlineLevel="0" collapsed="false">
      <c r="A74" s="17" t="n">
        <f aca="false">INT((B74-Panel!$B$4)/7)+1</f>
        <v>10</v>
      </c>
      <c r="B74" s="5" t="n">
        <f aca="false">B73+1</f>
        <v>46396</v>
      </c>
      <c r="C74" s="17" t="str">
        <f aca="false">CHOOSE(WEEKDAY(B74,2),"Lun","Mar","Mié","Jue","Vie","Sáb","Dom")</f>
        <v>Sáb</v>
      </c>
      <c r="D74" s="17" t="str">
        <f aca="false">INDEX(Calendario!$D$5:$D$33,A74)</f>
        <v>Equity</v>
      </c>
      <c r="E74" s="17" t="str">
        <f aca="false">INDEX(Rutina!$D$5:$D$11,WEEKDAY(B74,2))</f>
        <v>L + R</v>
      </c>
      <c r="F74" s="7" t="n">
        <f aca="false">IF(B74&gt;Panel!$B$5,0,MAX(0,INDEX(Rutina!$B$5:$B$11,WEEKDAY(B74,2))*(1-MIN(1,SUMPRODUCT((Eventos!$A$5:$A$40&lt;=B74)*(Eventos!$B$5:$B$40&gt;=B74)*Eventos!$D$5:$D$40)))+SUMPRODUCT((Eventos!$A$5:$A$40&lt;=B74)*(Eventos!$B$5:$B$40&gt;=B74)*Eventos!$E$5:$E$40)))</f>
        <v>2</v>
      </c>
      <c r="G74" s="18"/>
      <c r="H74" s="7" t="str">
        <f aca="false">IF(G74="","",G74*Panel!$B$8)</f>
        <v/>
      </c>
      <c r="I74" s="18"/>
      <c r="J74" s="18"/>
      <c r="K74" s="18"/>
      <c r="L74" s="8"/>
      <c r="M74" s="17" t="str">
        <f aca="false">IF(L74="","",IF(OR(WEEKDAY(B74,2)=5,WEEKDAY(B74,2)=6),"—",IF(AND(L74&gt;=0.5,L74&lt;=Panel!$B$11),"Sí","No")))</f>
        <v/>
      </c>
      <c r="N74" s="18"/>
    </row>
    <row r="75" customFormat="false" ht="15" hidden="false" customHeight="false" outlineLevel="0" collapsed="false">
      <c r="A75" s="17" t="n">
        <f aca="false">INT((B75-Panel!$B$4)/7)+1</f>
        <v>10</v>
      </c>
      <c r="B75" s="5" t="n">
        <f aca="false">B74+1</f>
        <v>46397</v>
      </c>
      <c r="C75" s="17" t="str">
        <f aca="false">CHOOSE(WEEKDAY(B75,2),"Lun","Mar","Mié","Jue","Vie","Sáb","Dom")</f>
        <v>Dom</v>
      </c>
      <c r="D75" s="17" t="str">
        <f aca="false">INDEX(Calendario!$D$5:$D$33,A75)</f>
        <v>Equity</v>
      </c>
      <c r="E75" s="17" t="str">
        <f aca="false">INDEX(Rutina!$D$5:$D$11,WEEKDAY(B75,2))</f>
        <v>V + F</v>
      </c>
      <c r="F75" s="7" t="n">
        <f aca="false">IF(B75&gt;Panel!$B$5,0,MAX(0,INDEX(Rutina!$B$5:$B$11,WEEKDAY(B75,2))*(1-MIN(1,SUMPRODUCT((Eventos!$A$5:$A$40&lt;=B75)*(Eventos!$B$5:$B$40&gt;=B75)*Eventos!$D$5:$D$40)))+SUMPRODUCT((Eventos!$A$5:$A$40&lt;=B75)*(Eventos!$B$5:$B$40&gt;=B75)*Eventos!$E$5:$E$40)))</f>
        <v>2</v>
      </c>
      <c r="G75" s="18"/>
      <c r="H75" s="7" t="str">
        <f aca="false">IF(G75="","",G75*Panel!$B$8)</f>
        <v/>
      </c>
      <c r="I75" s="18"/>
      <c r="J75" s="18"/>
      <c r="K75" s="18"/>
      <c r="L75" s="8"/>
      <c r="M75" s="17" t="str">
        <f aca="false">IF(L75="","",IF(OR(WEEKDAY(B75,2)=5,WEEKDAY(B75,2)=6),"—",IF(AND(L75&gt;=0.5,L75&lt;=Panel!$B$11),"Sí","No")))</f>
        <v/>
      </c>
      <c r="N75" s="18"/>
    </row>
    <row r="76" customFormat="false" ht="15" hidden="false" customHeight="false" outlineLevel="0" collapsed="false">
      <c r="A76" s="17" t="n">
        <f aca="false">INT((B76-Panel!$B$4)/7)+1</f>
        <v>11</v>
      </c>
      <c r="B76" s="5" t="n">
        <f aca="false">B75+1</f>
        <v>46398</v>
      </c>
      <c r="C76" s="17" t="str">
        <f aca="false">CHOOSE(WEEKDAY(B76,2),"Lun","Mar","Mié","Jue","Vie","Sáb","Dom")</f>
        <v>Lun</v>
      </c>
      <c r="D76" s="17" t="str">
        <f aca="false">INDEX(Calendario!$D$5:$D$33,A76)</f>
        <v>Equity</v>
      </c>
      <c r="E76" s="17" t="str">
        <f aca="false">INDEX(Rutina!$D$5:$D$11,WEEKDAY(B76,2))</f>
        <v>R</v>
      </c>
      <c r="F76" s="7" t="n">
        <f aca="false">IF(B76&gt;Panel!$B$5,0,MAX(0,INDEX(Rutina!$B$5:$B$11,WEEKDAY(B76,2))*(1-MIN(1,SUMPRODUCT((Eventos!$A$5:$A$40&lt;=B76)*(Eventos!$B$5:$B$40&gt;=B76)*Eventos!$D$5:$D$40)))+SUMPRODUCT((Eventos!$A$5:$A$40&lt;=B76)*(Eventos!$B$5:$B$40&gt;=B76)*Eventos!$E$5:$E$40)))</f>
        <v>1</v>
      </c>
      <c r="G76" s="18"/>
      <c r="H76" s="7" t="str">
        <f aca="false">IF(G76="","",G76*Panel!$B$8)</f>
        <v/>
      </c>
      <c r="I76" s="18"/>
      <c r="J76" s="18"/>
      <c r="K76" s="18"/>
      <c r="L76" s="8"/>
      <c r="M76" s="17" t="str">
        <f aca="false">IF(L76="","",IF(OR(WEEKDAY(B76,2)=5,WEEKDAY(B76,2)=6),"—",IF(AND(L76&gt;=0.5,L76&lt;=Panel!$B$11),"Sí","No")))</f>
        <v/>
      </c>
      <c r="N76" s="18"/>
    </row>
    <row r="77" customFormat="false" ht="15" hidden="false" customHeight="false" outlineLevel="0" collapsed="false">
      <c r="A77" s="17" t="n">
        <f aca="false">INT((B77-Panel!$B$4)/7)+1</f>
        <v>11</v>
      </c>
      <c r="B77" s="5" t="n">
        <f aca="false">B76+1</f>
        <v>46399</v>
      </c>
      <c r="C77" s="17" t="str">
        <f aca="false">CHOOSE(WEEKDAY(B77,2),"Lun","Mar","Mié","Jue","Vie","Sáb","Dom")</f>
        <v>Mar</v>
      </c>
      <c r="D77" s="17" t="str">
        <f aca="false">INDEX(Calendario!$D$5:$D$33,A77)</f>
        <v>Equity</v>
      </c>
      <c r="E77" s="17" t="str">
        <f aca="false">INDEX(Rutina!$D$5:$D$11,WEEKDAY(B77,2))</f>
        <v>R</v>
      </c>
      <c r="F77" s="7" t="n">
        <f aca="false">IF(B77&gt;Panel!$B$5,0,MAX(0,INDEX(Rutina!$B$5:$B$11,WEEKDAY(B77,2))*(1-MIN(1,SUMPRODUCT((Eventos!$A$5:$A$40&lt;=B77)*(Eventos!$B$5:$B$40&gt;=B77)*Eventos!$D$5:$D$40)))+SUMPRODUCT((Eventos!$A$5:$A$40&lt;=B77)*(Eventos!$B$5:$B$40&gt;=B77)*Eventos!$E$5:$E$40)))</f>
        <v>1</v>
      </c>
      <c r="G77" s="18"/>
      <c r="H77" s="7" t="str">
        <f aca="false">IF(G77="","",G77*Panel!$B$8)</f>
        <v/>
      </c>
      <c r="I77" s="18"/>
      <c r="J77" s="18"/>
      <c r="K77" s="18"/>
      <c r="L77" s="8"/>
      <c r="M77" s="17" t="str">
        <f aca="false">IF(L77="","",IF(OR(WEEKDAY(B77,2)=5,WEEKDAY(B77,2)=6),"—",IF(AND(L77&gt;=0.5,L77&lt;=Panel!$B$11),"Sí","No")))</f>
        <v/>
      </c>
      <c r="N77" s="18"/>
    </row>
    <row r="78" customFormat="false" ht="15" hidden="false" customHeight="false" outlineLevel="0" collapsed="false">
      <c r="A78" s="17" t="n">
        <f aca="false">INT((B78-Panel!$B$4)/7)+1</f>
        <v>11</v>
      </c>
      <c r="B78" s="5" t="n">
        <f aca="false">B77+1</f>
        <v>46400</v>
      </c>
      <c r="C78" s="17" t="str">
        <f aca="false">CHOOSE(WEEKDAY(B78,2),"Lun","Mar","Mié","Jue","Vie","Sáb","Dom")</f>
        <v>Mié</v>
      </c>
      <c r="D78" s="17" t="str">
        <f aca="false">INDEX(Calendario!$D$5:$D$33,A78)</f>
        <v>Equity</v>
      </c>
      <c r="E78" s="17" t="str">
        <f aca="false">INDEX(Rutina!$D$5:$D$11,WEEKDAY(B78,2))</f>
        <v>Q</v>
      </c>
      <c r="F78" s="7" t="n">
        <f aca="false">IF(B78&gt;Panel!$B$5,0,MAX(0,INDEX(Rutina!$B$5:$B$11,WEEKDAY(B78,2))*(1-MIN(1,SUMPRODUCT((Eventos!$A$5:$A$40&lt;=B78)*(Eventos!$B$5:$B$40&gt;=B78)*Eventos!$D$5:$D$40)))+SUMPRODUCT((Eventos!$A$5:$A$40&lt;=B78)*(Eventos!$B$5:$B$40&gt;=B78)*Eventos!$E$5:$E$40)))</f>
        <v>1</v>
      </c>
      <c r="G78" s="18"/>
      <c r="H78" s="7" t="str">
        <f aca="false">IF(G78="","",G78*Panel!$B$8)</f>
        <v/>
      </c>
      <c r="I78" s="18"/>
      <c r="J78" s="18"/>
      <c r="K78" s="18"/>
      <c r="L78" s="8"/>
      <c r="M78" s="17" t="str">
        <f aca="false">IF(L78="","",IF(OR(WEEKDAY(B78,2)=5,WEEKDAY(B78,2)=6),"—",IF(AND(L78&gt;=0.5,L78&lt;=Panel!$B$11),"Sí","No")))</f>
        <v/>
      </c>
      <c r="N78" s="18"/>
    </row>
    <row r="79" customFormat="false" ht="15" hidden="false" customHeight="false" outlineLevel="0" collapsed="false">
      <c r="A79" s="17" t="n">
        <f aca="false">INT((B79-Panel!$B$4)/7)+1</f>
        <v>11</v>
      </c>
      <c r="B79" s="5" t="n">
        <f aca="false">B78+1</f>
        <v>46401</v>
      </c>
      <c r="C79" s="17" t="str">
        <f aca="false">CHOOSE(WEEKDAY(B79,2),"Lun","Mar","Mié","Jue","Vie","Sáb","Dom")</f>
        <v>Jue</v>
      </c>
      <c r="D79" s="17" t="str">
        <f aca="false">INDEX(Calendario!$D$5:$D$33,A79)</f>
        <v>Equity</v>
      </c>
      <c r="E79" s="17" t="str">
        <f aca="false">INDEX(Rutina!$D$5:$D$11,WEEKDAY(B79,2))</f>
        <v>Q</v>
      </c>
      <c r="F79" s="7" t="n">
        <f aca="false">IF(B79&gt;Panel!$B$5,0,MAX(0,INDEX(Rutina!$B$5:$B$11,WEEKDAY(B79,2))*(1-MIN(1,SUMPRODUCT((Eventos!$A$5:$A$40&lt;=B79)*(Eventos!$B$5:$B$40&gt;=B79)*Eventos!$D$5:$D$40)))+SUMPRODUCT((Eventos!$A$5:$A$40&lt;=B79)*(Eventos!$B$5:$B$40&gt;=B79)*Eventos!$E$5:$E$40)))</f>
        <v>1</v>
      </c>
      <c r="G79" s="18"/>
      <c r="H79" s="7" t="str">
        <f aca="false">IF(G79="","",G79*Panel!$B$8)</f>
        <v/>
      </c>
      <c r="I79" s="18"/>
      <c r="J79" s="18"/>
      <c r="K79" s="18"/>
      <c r="L79" s="8"/>
      <c r="M79" s="17" t="str">
        <f aca="false">IF(L79="","",IF(OR(WEEKDAY(B79,2)=5,WEEKDAY(B79,2)=6),"—",IF(AND(L79&gt;=0.5,L79&lt;=Panel!$B$11),"Sí","No")))</f>
        <v/>
      </c>
      <c r="N79" s="18"/>
    </row>
    <row r="80" customFormat="false" ht="15" hidden="false" customHeight="false" outlineLevel="0" collapsed="false">
      <c r="A80" s="17" t="n">
        <f aca="false">INT((B80-Panel!$B$4)/7)+1</f>
        <v>11</v>
      </c>
      <c r="B80" s="5" t="n">
        <f aca="false">B79+1</f>
        <v>46402</v>
      </c>
      <c r="C80" s="17" t="str">
        <f aca="false">CHOOSE(WEEKDAY(B80,2),"Lun","Mar","Mié","Jue","Vie","Sáb","Dom")</f>
        <v>Vie</v>
      </c>
      <c r="D80" s="17" t="str">
        <f aca="false">INDEX(Calendario!$D$5:$D$33,A80)</f>
        <v>Equity</v>
      </c>
      <c r="E80" s="17" t="str">
        <f aca="false">INDEX(Rutina!$D$5:$D$11,WEEKDAY(B80,2))</f>
        <v>L + Q</v>
      </c>
      <c r="F80" s="7" t="n">
        <f aca="false">IF(B80&gt;Panel!$B$5,0,MAX(0,INDEX(Rutina!$B$5:$B$11,WEEKDAY(B80,2))*(1-MIN(1,SUMPRODUCT((Eventos!$A$5:$A$40&lt;=B80)*(Eventos!$B$5:$B$40&gt;=B80)*Eventos!$D$5:$D$40)))+SUMPRODUCT((Eventos!$A$5:$A$40&lt;=B80)*(Eventos!$B$5:$B$40&gt;=B80)*Eventos!$E$5:$E$40)))</f>
        <v>2</v>
      </c>
      <c r="G80" s="18"/>
      <c r="H80" s="7" t="str">
        <f aca="false">IF(G80="","",G80*Panel!$B$8)</f>
        <v/>
      </c>
      <c r="I80" s="18"/>
      <c r="J80" s="18"/>
      <c r="K80" s="18"/>
      <c r="L80" s="8"/>
      <c r="M80" s="17" t="str">
        <f aca="false">IF(L80="","",IF(OR(WEEKDAY(B80,2)=5,WEEKDAY(B80,2)=6),"—",IF(AND(L80&gt;=0.5,L80&lt;=Panel!$B$11),"Sí","No")))</f>
        <v/>
      </c>
      <c r="N80" s="18"/>
    </row>
    <row r="81" customFormat="false" ht="15" hidden="false" customHeight="false" outlineLevel="0" collapsed="false">
      <c r="A81" s="17" t="n">
        <f aca="false">INT((B81-Panel!$B$4)/7)+1</f>
        <v>11</v>
      </c>
      <c r="B81" s="5" t="n">
        <f aca="false">B80+1</f>
        <v>46403</v>
      </c>
      <c r="C81" s="17" t="str">
        <f aca="false">CHOOSE(WEEKDAY(B81,2),"Lun","Mar","Mié","Jue","Vie","Sáb","Dom")</f>
        <v>Sáb</v>
      </c>
      <c r="D81" s="17" t="str">
        <f aca="false">INDEX(Calendario!$D$5:$D$33,A81)</f>
        <v>Equity</v>
      </c>
      <c r="E81" s="17" t="str">
        <f aca="false">INDEX(Rutina!$D$5:$D$11,WEEKDAY(B81,2))</f>
        <v>L + R</v>
      </c>
      <c r="F81" s="7" t="n">
        <f aca="false">IF(B81&gt;Panel!$B$5,0,MAX(0,INDEX(Rutina!$B$5:$B$11,WEEKDAY(B81,2))*(1-MIN(1,SUMPRODUCT((Eventos!$A$5:$A$40&lt;=B81)*(Eventos!$B$5:$B$40&gt;=B81)*Eventos!$D$5:$D$40)))+SUMPRODUCT((Eventos!$A$5:$A$40&lt;=B81)*(Eventos!$B$5:$B$40&gt;=B81)*Eventos!$E$5:$E$40)))</f>
        <v>2</v>
      </c>
      <c r="G81" s="18"/>
      <c r="H81" s="7" t="str">
        <f aca="false">IF(G81="","",G81*Panel!$B$8)</f>
        <v/>
      </c>
      <c r="I81" s="18"/>
      <c r="J81" s="18"/>
      <c r="K81" s="18"/>
      <c r="L81" s="8"/>
      <c r="M81" s="17" t="str">
        <f aca="false">IF(L81="","",IF(OR(WEEKDAY(B81,2)=5,WEEKDAY(B81,2)=6),"—",IF(AND(L81&gt;=0.5,L81&lt;=Panel!$B$11),"Sí","No")))</f>
        <v/>
      </c>
      <c r="N81" s="18"/>
    </row>
    <row r="82" customFormat="false" ht="15" hidden="false" customHeight="false" outlineLevel="0" collapsed="false">
      <c r="A82" s="17" t="n">
        <f aca="false">INT((B82-Panel!$B$4)/7)+1</f>
        <v>11</v>
      </c>
      <c r="B82" s="5" t="n">
        <f aca="false">B81+1</f>
        <v>46404</v>
      </c>
      <c r="C82" s="17" t="str">
        <f aca="false">CHOOSE(WEEKDAY(B82,2),"Lun","Mar","Mié","Jue","Vie","Sáb","Dom")</f>
        <v>Dom</v>
      </c>
      <c r="D82" s="17" t="str">
        <f aca="false">INDEX(Calendario!$D$5:$D$33,A82)</f>
        <v>Equity</v>
      </c>
      <c r="E82" s="17" t="str">
        <f aca="false">INDEX(Rutina!$D$5:$D$11,WEEKDAY(B82,2))</f>
        <v>V + F</v>
      </c>
      <c r="F82" s="7" t="n">
        <f aca="false">IF(B82&gt;Panel!$B$5,0,MAX(0,INDEX(Rutina!$B$5:$B$11,WEEKDAY(B82,2))*(1-MIN(1,SUMPRODUCT((Eventos!$A$5:$A$40&lt;=B82)*(Eventos!$B$5:$B$40&gt;=B82)*Eventos!$D$5:$D$40)))+SUMPRODUCT((Eventos!$A$5:$A$40&lt;=B82)*(Eventos!$B$5:$B$40&gt;=B82)*Eventos!$E$5:$E$40)))</f>
        <v>2</v>
      </c>
      <c r="G82" s="18"/>
      <c r="H82" s="7" t="str">
        <f aca="false">IF(G82="","",G82*Panel!$B$8)</f>
        <v/>
      </c>
      <c r="I82" s="18"/>
      <c r="J82" s="18"/>
      <c r="K82" s="18"/>
      <c r="L82" s="8"/>
      <c r="M82" s="17" t="str">
        <f aca="false">IF(L82="","",IF(OR(WEEKDAY(B82,2)=5,WEEKDAY(B82,2)=6),"—",IF(AND(L82&gt;=0.5,L82&lt;=Panel!$B$11),"Sí","No")))</f>
        <v/>
      </c>
      <c r="N82" s="18"/>
    </row>
    <row r="83" customFormat="false" ht="15" hidden="false" customHeight="false" outlineLevel="0" collapsed="false">
      <c r="A83" s="17" t="n">
        <f aca="false">INT((B83-Panel!$B$4)/7)+1</f>
        <v>12</v>
      </c>
      <c r="B83" s="5" t="n">
        <f aca="false">B82+1</f>
        <v>46405</v>
      </c>
      <c r="C83" s="17" t="str">
        <f aca="false">CHOOSE(WEEKDAY(B83,2),"Lun","Mar","Mié","Jue","Vie","Sáb","Dom")</f>
        <v>Lun</v>
      </c>
      <c r="D83" s="17" t="str">
        <f aca="false">INDEX(Calendario!$D$5:$D$33,A83)</f>
        <v>Equity</v>
      </c>
      <c r="E83" s="17" t="str">
        <f aca="false">INDEX(Rutina!$D$5:$D$11,WEEKDAY(B83,2))</f>
        <v>R</v>
      </c>
      <c r="F83" s="7" t="n">
        <f aca="false">IF(B83&gt;Panel!$B$5,0,MAX(0,INDEX(Rutina!$B$5:$B$11,WEEKDAY(B83,2))*(1-MIN(1,SUMPRODUCT((Eventos!$A$5:$A$40&lt;=B83)*(Eventos!$B$5:$B$40&gt;=B83)*Eventos!$D$5:$D$40)))+SUMPRODUCT((Eventos!$A$5:$A$40&lt;=B83)*(Eventos!$B$5:$B$40&gt;=B83)*Eventos!$E$5:$E$40)))</f>
        <v>1</v>
      </c>
      <c r="G83" s="18"/>
      <c r="H83" s="7" t="str">
        <f aca="false">IF(G83="","",G83*Panel!$B$8)</f>
        <v/>
      </c>
      <c r="I83" s="18"/>
      <c r="J83" s="18"/>
      <c r="K83" s="18"/>
      <c r="L83" s="8"/>
      <c r="M83" s="17" t="str">
        <f aca="false">IF(L83="","",IF(OR(WEEKDAY(B83,2)=5,WEEKDAY(B83,2)=6),"—",IF(AND(L83&gt;=0.5,L83&lt;=Panel!$B$11),"Sí","No")))</f>
        <v/>
      </c>
      <c r="N83" s="18"/>
    </row>
    <row r="84" customFormat="false" ht="15" hidden="false" customHeight="false" outlineLevel="0" collapsed="false">
      <c r="A84" s="17" t="n">
        <f aca="false">INT((B84-Panel!$B$4)/7)+1</f>
        <v>12</v>
      </c>
      <c r="B84" s="5" t="n">
        <f aca="false">B83+1</f>
        <v>46406</v>
      </c>
      <c r="C84" s="17" t="str">
        <f aca="false">CHOOSE(WEEKDAY(B84,2),"Lun","Mar","Mié","Jue","Vie","Sáb","Dom")</f>
        <v>Mar</v>
      </c>
      <c r="D84" s="17" t="str">
        <f aca="false">INDEX(Calendario!$D$5:$D$33,A84)</f>
        <v>Equity</v>
      </c>
      <c r="E84" s="17" t="str">
        <f aca="false">INDEX(Rutina!$D$5:$D$11,WEEKDAY(B84,2))</f>
        <v>R</v>
      </c>
      <c r="F84" s="7" t="n">
        <f aca="false">IF(B84&gt;Panel!$B$5,0,MAX(0,INDEX(Rutina!$B$5:$B$11,WEEKDAY(B84,2))*(1-MIN(1,SUMPRODUCT((Eventos!$A$5:$A$40&lt;=B84)*(Eventos!$B$5:$B$40&gt;=B84)*Eventos!$D$5:$D$40)))+SUMPRODUCT((Eventos!$A$5:$A$40&lt;=B84)*(Eventos!$B$5:$B$40&gt;=B84)*Eventos!$E$5:$E$40)))</f>
        <v>1</v>
      </c>
      <c r="G84" s="18"/>
      <c r="H84" s="7" t="str">
        <f aca="false">IF(G84="","",G84*Panel!$B$8)</f>
        <v/>
      </c>
      <c r="I84" s="18"/>
      <c r="J84" s="18"/>
      <c r="K84" s="18"/>
      <c r="L84" s="8"/>
      <c r="M84" s="17" t="str">
        <f aca="false">IF(L84="","",IF(OR(WEEKDAY(B84,2)=5,WEEKDAY(B84,2)=6),"—",IF(AND(L84&gt;=0.5,L84&lt;=Panel!$B$11),"Sí","No")))</f>
        <v/>
      </c>
      <c r="N84" s="18"/>
    </row>
    <row r="85" customFormat="false" ht="15" hidden="false" customHeight="false" outlineLevel="0" collapsed="false">
      <c r="A85" s="17" t="n">
        <f aca="false">INT((B85-Panel!$B$4)/7)+1</f>
        <v>12</v>
      </c>
      <c r="B85" s="5" t="n">
        <f aca="false">B84+1</f>
        <v>46407</v>
      </c>
      <c r="C85" s="17" t="str">
        <f aca="false">CHOOSE(WEEKDAY(B85,2),"Lun","Mar","Mié","Jue","Vie","Sáb","Dom")</f>
        <v>Mié</v>
      </c>
      <c r="D85" s="17" t="str">
        <f aca="false">INDEX(Calendario!$D$5:$D$33,A85)</f>
        <v>Equity</v>
      </c>
      <c r="E85" s="17" t="str">
        <f aca="false">INDEX(Rutina!$D$5:$D$11,WEEKDAY(B85,2))</f>
        <v>Q</v>
      </c>
      <c r="F85" s="7" t="n">
        <f aca="false">IF(B85&gt;Panel!$B$5,0,MAX(0,INDEX(Rutina!$B$5:$B$11,WEEKDAY(B85,2))*(1-MIN(1,SUMPRODUCT((Eventos!$A$5:$A$40&lt;=B85)*(Eventos!$B$5:$B$40&gt;=B85)*Eventos!$D$5:$D$40)))+SUMPRODUCT((Eventos!$A$5:$A$40&lt;=B85)*(Eventos!$B$5:$B$40&gt;=B85)*Eventos!$E$5:$E$40)))</f>
        <v>1</v>
      </c>
      <c r="G85" s="18"/>
      <c r="H85" s="7" t="str">
        <f aca="false">IF(G85="","",G85*Panel!$B$8)</f>
        <v/>
      </c>
      <c r="I85" s="18"/>
      <c r="J85" s="18"/>
      <c r="K85" s="18"/>
      <c r="L85" s="8"/>
      <c r="M85" s="17" t="str">
        <f aca="false">IF(L85="","",IF(OR(WEEKDAY(B85,2)=5,WEEKDAY(B85,2)=6),"—",IF(AND(L85&gt;=0.5,L85&lt;=Panel!$B$11),"Sí","No")))</f>
        <v/>
      </c>
      <c r="N85" s="18"/>
    </row>
    <row r="86" customFormat="false" ht="15" hidden="false" customHeight="false" outlineLevel="0" collapsed="false">
      <c r="A86" s="17" t="n">
        <f aca="false">INT((B86-Panel!$B$4)/7)+1</f>
        <v>12</v>
      </c>
      <c r="B86" s="5" t="n">
        <f aca="false">B85+1</f>
        <v>46408</v>
      </c>
      <c r="C86" s="17" t="str">
        <f aca="false">CHOOSE(WEEKDAY(B86,2),"Lun","Mar","Mié","Jue","Vie","Sáb","Dom")</f>
        <v>Jue</v>
      </c>
      <c r="D86" s="17" t="str">
        <f aca="false">INDEX(Calendario!$D$5:$D$33,A86)</f>
        <v>Equity</v>
      </c>
      <c r="E86" s="17" t="str">
        <f aca="false">INDEX(Rutina!$D$5:$D$11,WEEKDAY(B86,2))</f>
        <v>Q</v>
      </c>
      <c r="F86" s="7" t="n">
        <f aca="false">IF(B86&gt;Panel!$B$5,0,MAX(0,INDEX(Rutina!$B$5:$B$11,WEEKDAY(B86,2))*(1-MIN(1,SUMPRODUCT((Eventos!$A$5:$A$40&lt;=B86)*(Eventos!$B$5:$B$40&gt;=B86)*Eventos!$D$5:$D$40)))+SUMPRODUCT((Eventos!$A$5:$A$40&lt;=B86)*(Eventos!$B$5:$B$40&gt;=B86)*Eventos!$E$5:$E$40)))</f>
        <v>1</v>
      </c>
      <c r="G86" s="18"/>
      <c r="H86" s="7" t="str">
        <f aca="false">IF(G86="","",G86*Panel!$B$8)</f>
        <v/>
      </c>
      <c r="I86" s="18"/>
      <c r="J86" s="18"/>
      <c r="K86" s="18"/>
      <c r="L86" s="8"/>
      <c r="M86" s="17" t="str">
        <f aca="false">IF(L86="","",IF(OR(WEEKDAY(B86,2)=5,WEEKDAY(B86,2)=6),"—",IF(AND(L86&gt;=0.5,L86&lt;=Panel!$B$11),"Sí","No")))</f>
        <v/>
      </c>
      <c r="N86" s="18"/>
    </row>
    <row r="87" customFormat="false" ht="15" hidden="false" customHeight="false" outlineLevel="0" collapsed="false">
      <c r="A87" s="17" t="n">
        <f aca="false">INT((B87-Panel!$B$4)/7)+1</f>
        <v>12</v>
      </c>
      <c r="B87" s="5" t="n">
        <f aca="false">B86+1</f>
        <v>46409</v>
      </c>
      <c r="C87" s="17" t="str">
        <f aca="false">CHOOSE(WEEKDAY(B87,2),"Lun","Mar","Mié","Jue","Vie","Sáb","Dom")</f>
        <v>Vie</v>
      </c>
      <c r="D87" s="17" t="str">
        <f aca="false">INDEX(Calendario!$D$5:$D$33,A87)</f>
        <v>Equity</v>
      </c>
      <c r="E87" s="17" t="str">
        <f aca="false">INDEX(Rutina!$D$5:$D$11,WEEKDAY(B87,2))</f>
        <v>L + Q</v>
      </c>
      <c r="F87" s="7" t="n">
        <f aca="false">IF(B87&gt;Panel!$B$5,0,MAX(0,INDEX(Rutina!$B$5:$B$11,WEEKDAY(B87,2))*(1-MIN(1,SUMPRODUCT((Eventos!$A$5:$A$40&lt;=B87)*(Eventos!$B$5:$B$40&gt;=B87)*Eventos!$D$5:$D$40)))+SUMPRODUCT((Eventos!$A$5:$A$40&lt;=B87)*(Eventos!$B$5:$B$40&gt;=B87)*Eventos!$E$5:$E$40)))</f>
        <v>2</v>
      </c>
      <c r="G87" s="18"/>
      <c r="H87" s="7" t="str">
        <f aca="false">IF(G87="","",G87*Panel!$B$8)</f>
        <v/>
      </c>
      <c r="I87" s="18"/>
      <c r="J87" s="18"/>
      <c r="K87" s="18"/>
      <c r="L87" s="8"/>
      <c r="M87" s="17" t="str">
        <f aca="false">IF(L87="","",IF(OR(WEEKDAY(B87,2)=5,WEEKDAY(B87,2)=6),"—",IF(AND(L87&gt;=0.5,L87&lt;=Panel!$B$11),"Sí","No")))</f>
        <v/>
      </c>
      <c r="N87" s="18"/>
    </row>
    <row r="88" customFormat="false" ht="15" hidden="false" customHeight="false" outlineLevel="0" collapsed="false">
      <c r="A88" s="17" t="n">
        <f aca="false">INT((B88-Panel!$B$4)/7)+1</f>
        <v>12</v>
      </c>
      <c r="B88" s="5" t="n">
        <f aca="false">B87+1</f>
        <v>46410</v>
      </c>
      <c r="C88" s="17" t="str">
        <f aca="false">CHOOSE(WEEKDAY(B88,2),"Lun","Mar","Mié","Jue","Vie","Sáb","Dom")</f>
        <v>Sáb</v>
      </c>
      <c r="D88" s="17" t="str">
        <f aca="false">INDEX(Calendario!$D$5:$D$33,A88)</f>
        <v>Equity</v>
      </c>
      <c r="E88" s="17" t="str">
        <f aca="false">INDEX(Rutina!$D$5:$D$11,WEEKDAY(B88,2))</f>
        <v>L + R</v>
      </c>
      <c r="F88" s="7" t="n">
        <f aca="false">IF(B88&gt;Panel!$B$5,0,MAX(0,INDEX(Rutina!$B$5:$B$11,WEEKDAY(B88,2))*(1-MIN(1,SUMPRODUCT((Eventos!$A$5:$A$40&lt;=B88)*(Eventos!$B$5:$B$40&gt;=B88)*Eventos!$D$5:$D$40)))+SUMPRODUCT((Eventos!$A$5:$A$40&lt;=B88)*(Eventos!$B$5:$B$40&gt;=B88)*Eventos!$E$5:$E$40)))</f>
        <v>2</v>
      </c>
      <c r="G88" s="18"/>
      <c r="H88" s="7" t="str">
        <f aca="false">IF(G88="","",G88*Panel!$B$8)</f>
        <v/>
      </c>
      <c r="I88" s="18"/>
      <c r="J88" s="18"/>
      <c r="K88" s="18"/>
      <c r="L88" s="8"/>
      <c r="M88" s="17" t="str">
        <f aca="false">IF(L88="","",IF(OR(WEEKDAY(B88,2)=5,WEEKDAY(B88,2)=6),"—",IF(AND(L88&gt;=0.5,L88&lt;=Panel!$B$11),"Sí","No")))</f>
        <v/>
      </c>
      <c r="N88" s="18"/>
    </row>
    <row r="89" customFormat="false" ht="15" hidden="false" customHeight="false" outlineLevel="0" collapsed="false">
      <c r="A89" s="17" t="n">
        <f aca="false">INT((B89-Panel!$B$4)/7)+1</f>
        <v>12</v>
      </c>
      <c r="B89" s="5" t="n">
        <f aca="false">B88+1</f>
        <v>46411</v>
      </c>
      <c r="C89" s="17" t="str">
        <f aca="false">CHOOSE(WEEKDAY(B89,2),"Lun","Mar","Mié","Jue","Vie","Sáb","Dom")</f>
        <v>Dom</v>
      </c>
      <c r="D89" s="17" t="str">
        <f aca="false">INDEX(Calendario!$D$5:$D$33,A89)</f>
        <v>Equity</v>
      </c>
      <c r="E89" s="17" t="str">
        <f aca="false">INDEX(Rutina!$D$5:$D$11,WEEKDAY(B89,2))</f>
        <v>V + F</v>
      </c>
      <c r="F89" s="7" t="n">
        <f aca="false">IF(B89&gt;Panel!$B$5,0,MAX(0,INDEX(Rutina!$B$5:$B$11,WEEKDAY(B89,2))*(1-MIN(1,SUMPRODUCT((Eventos!$A$5:$A$40&lt;=B89)*(Eventos!$B$5:$B$40&gt;=B89)*Eventos!$D$5:$D$40)))+SUMPRODUCT((Eventos!$A$5:$A$40&lt;=B89)*(Eventos!$B$5:$B$40&gt;=B89)*Eventos!$E$5:$E$40)))</f>
        <v>2</v>
      </c>
      <c r="G89" s="18"/>
      <c r="H89" s="7" t="str">
        <f aca="false">IF(G89="","",G89*Panel!$B$8)</f>
        <v/>
      </c>
      <c r="I89" s="18"/>
      <c r="J89" s="18"/>
      <c r="K89" s="18"/>
      <c r="L89" s="8"/>
      <c r="M89" s="17" t="str">
        <f aca="false">IF(L89="","",IF(OR(WEEKDAY(B89,2)=5,WEEKDAY(B89,2)=6),"—",IF(AND(L89&gt;=0.5,L89&lt;=Panel!$B$11),"Sí","No")))</f>
        <v/>
      </c>
      <c r="N89" s="18"/>
    </row>
    <row r="90" customFormat="false" ht="15" hidden="false" customHeight="false" outlineLevel="0" collapsed="false">
      <c r="A90" s="17" t="n">
        <f aca="false">INT((B90-Panel!$B$4)/7)+1</f>
        <v>13</v>
      </c>
      <c r="B90" s="5" t="n">
        <f aca="false">B89+1</f>
        <v>46412</v>
      </c>
      <c r="C90" s="17" t="str">
        <f aca="false">CHOOSE(WEEKDAY(B90,2),"Lun","Mar","Mié","Jue","Vie","Sáb","Dom")</f>
        <v>Lun</v>
      </c>
      <c r="D90" s="17" t="str">
        <f aca="false">INDEX(Calendario!$D$5:$D$33,A90)</f>
        <v>Renta Fija</v>
      </c>
      <c r="E90" s="17" t="str">
        <f aca="false">INDEX(Rutina!$D$5:$D$11,WEEKDAY(B90,2))</f>
        <v>R</v>
      </c>
      <c r="F90" s="7" t="n">
        <f aca="false">IF(B90&gt;Panel!$B$5,0,MAX(0,INDEX(Rutina!$B$5:$B$11,WEEKDAY(B90,2))*(1-MIN(1,SUMPRODUCT((Eventos!$A$5:$A$40&lt;=B90)*(Eventos!$B$5:$B$40&gt;=B90)*Eventos!$D$5:$D$40)))+SUMPRODUCT((Eventos!$A$5:$A$40&lt;=B90)*(Eventos!$B$5:$B$40&gt;=B90)*Eventos!$E$5:$E$40)))</f>
        <v>1</v>
      </c>
      <c r="G90" s="18"/>
      <c r="H90" s="7" t="str">
        <f aca="false">IF(G90="","",G90*Panel!$B$8)</f>
        <v/>
      </c>
      <c r="I90" s="18"/>
      <c r="J90" s="18"/>
      <c r="K90" s="18"/>
      <c r="L90" s="8"/>
      <c r="M90" s="17" t="str">
        <f aca="false">IF(L90="","",IF(OR(WEEKDAY(B90,2)=5,WEEKDAY(B90,2)=6),"—",IF(AND(L90&gt;=0.5,L90&lt;=Panel!$B$11),"Sí","No")))</f>
        <v/>
      </c>
      <c r="N90" s="18"/>
    </row>
    <row r="91" customFormat="false" ht="15" hidden="false" customHeight="false" outlineLevel="0" collapsed="false">
      <c r="A91" s="17" t="n">
        <f aca="false">INT((B91-Panel!$B$4)/7)+1</f>
        <v>13</v>
      </c>
      <c r="B91" s="5" t="n">
        <f aca="false">B90+1</f>
        <v>46413</v>
      </c>
      <c r="C91" s="17" t="str">
        <f aca="false">CHOOSE(WEEKDAY(B91,2),"Lun","Mar","Mié","Jue","Vie","Sáb","Dom")</f>
        <v>Mar</v>
      </c>
      <c r="D91" s="17" t="str">
        <f aca="false">INDEX(Calendario!$D$5:$D$33,A91)</f>
        <v>Renta Fija</v>
      </c>
      <c r="E91" s="17" t="str">
        <f aca="false">INDEX(Rutina!$D$5:$D$11,WEEKDAY(B91,2))</f>
        <v>R</v>
      </c>
      <c r="F91" s="7" t="n">
        <f aca="false">IF(B91&gt;Panel!$B$5,0,MAX(0,INDEX(Rutina!$B$5:$B$11,WEEKDAY(B91,2))*(1-MIN(1,SUMPRODUCT((Eventos!$A$5:$A$40&lt;=B91)*(Eventos!$B$5:$B$40&gt;=B91)*Eventos!$D$5:$D$40)))+SUMPRODUCT((Eventos!$A$5:$A$40&lt;=B91)*(Eventos!$B$5:$B$40&gt;=B91)*Eventos!$E$5:$E$40)))</f>
        <v>1</v>
      </c>
      <c r="G91" s="18"/>
      <c r="H91" s="7" t="str">
        <f aca="false">IF(G91="","",G91*Panel!$B$8)</f>
        <v/>
      </c>
      <c r="I91" s="18"/>
      <c r="J91" s="18"/>
      <c r="K91" s="18"/>
      <c r="L91" s="8"/>
      <c r="M91" s="17" t="str">
        <f aca="false">IF(L91="","",IF(OR(WEEKDAY(B91,2)=5,WEEKDAY(B91,2)=6),"—",IF(AND(L91&gt;=0.5,L91&lt;=Panel!$B$11),"Sí","No")))</f>
        <v/>
      </c>
      <c r="N91" s="18"/>
    </row>
    <row r="92" customFormat="false" ht="15" hidden="false" customHeight="false" outlineLevel="0" collapsed="false">
      <c r="A92" s="17" t="n">
        <f aca="false">INT((B92-Panel!$B$4)/7)+1</f>
        <v>13</v>
      </c>
      <c r="B92" s="5" t="n">
        <f aca="false">B91+1</f>
        <v>46414</v>
      </c>
      <c r="C92" s="17" t="str">
        <f aca="false">CHOOSE(WEEKDAY(B92,2),"Lun","Mar","Mié","Jue","Vie","Sáb","Dom")</f>
        <v>Mié</v>
      </c>
      <c r="D92" s="17" t="str">
        <f aca="false">INDEX(Calendario!$D$5:$D$33,A92)</f>
        <v>Renta Fija</v>
      </c>
      <c r="E92" s="17" t="str">
        <f aca="false">INDEX(Rutina!$D$5:$D$11,WEEKDAY(B92,2))</f>
        <v>Q</v>
      </c>
      <c r="F92" s="7" t="n">
        <f aca="false">IF(B92&gt;Panel!$B$5,0,MAX(0,INDEX(Rutina!$B$5:$B$11,WEEKDAY(B92,2))*(1-MIN(1,SUMPRODUCT((Eventos!$A$5:$A$40&lt;=B92)*(Eventos!$B$5:$B$40&gt;=B92)*Eventos!$D$5:$D$40)))+SUMPRODUCT((Eventos!$A$5:$A$40&lt;=B92)*(Eventos!$B$5:$B$40&gt;=B92)*Eventos!$E$5:$E$40)))</f>
        <v>1</v>
      </c>
      <c r="G92" s="18"/>
      <c r="H92" s="7" t="str">
        <f aca="false">IF(G92="","",G92*Panel!$B$8)</f>
        <v/>
      </c>
      <c r="I92" s="18"/>
      <c r="J92" s="18"/>
      <c r="K92" s="18"/>
      <c r="L92" s="8"/>
      <c r="M92" s="17" t="str">
        <f aca="false">IF(L92="","",IF(OR(WEEKDAY(B92,2)=5,WEEKDAY(B92,2)=6),"—",IF(AND(L92&gt;=0.5,L92&lt;=Panel!$B$11),"Sí","No")))</f>
        <v/>
      </c>
      <c r="N92" s="18"/>
    </row>
    <row r="93" customFormat="false" ht="15" hidden="false" customHeight="false" outlineLevel="0" collapsed="false">
      <c r="A93" s="17" t="n">
        <f aca="false">INT((B93-Panel!$B$4)/7)+1</f>
        <v>13</v>
      </c>
      <c r="B93" s="5" t="n">
        <f aca="false">B92+1</f>
        <v>46415</v>
      </c>
      <c r="C93" s="17" t="str">
        <f aca="false">CHOOSE(WEEKDAY(B93,2),"Lun","Mar","Mié","Jue","Vie","Sáb","Dom")</f>
        <v>Jue</v>
      </c>
      <c r="D93" s="17" t="str">
        <f aca="false">INDEX(Calendario!$D$5:$D$33,A93)</f>
        <v>Renta Fija</v>
      </c>
      <c r="E93" s="17" t="str">
        <f aca="false">INDEX(Rutina!$D$5:$D$11,WEEKDAY(B93,2))</f>
        <v>Q</v>
      </c>
      <c r="F93" s="7" t="n">
        <f aca="false">IF(B93&gt;Panel!$B$5,0,MAX(0,INDEX(Rutina!$B$5:$B$11,WEEKDAY(B93,2))*(1-MIN(1,SUMPRODUCT((Eventos!$A$5:$A$40&lt;=B93)*(Eventos!$B$5:$B$40&gt;=B93)*Eventos!$D$5:$D$40)))+SUMPRODUCT((Eventos!$A$5:$A$40&lt;=B93)*(Eventos!$B$5:$B$40&gt;=B93)*Eventos!$E$5:$E$40)))</f>
        <v>1</v>
      </c>
      <c r="G93" s="18"/>
      <c r="H93" s="7" t="str">
        <f aca="false">IF(G93="","",G93*Panel!$B$8)</f>
        <v/>
      </c>
      <c r="I93" s="18"/>
      <c r="J93" s="18"/>
      <c r="K93" s="18"/>
      <c r="L93" s="8"/>
      <c r="M93" s="17" t="str">
        <f aca="false">IF(L93="","",IF(OR(WEEKDAY(B93,2)=5,WEEKDAY(B93,2)=6),"—",IF(AND(L93&gt;=0.5,L93&lt;=Panel!$B$11),"Sí","No")))</f>
        <v/>
      </c>
      <c r="N93" s="18"/>
    </row>
    <row r="94" customFormat="false" ht="15" hidden="false" customHeight="false" outlineLevel="0" collapsed="false">
      <c r="A94" s="17" t="n">
        <f aca="false">INT((B94-Panel!$B$4)/7)+1</f>
        <v>13</v>
      </c>
      <c r="B94" s="5" t="n">
        <f aca="false">B93+1</f>
        <v>46416</v>
      </c>
      <c r="C94" s="17" t="str">
        <f aca="false">CHOOSE(WEEKDAY(B94,2),"Lun","Mar","Mié","Jue","Vie","Sáb","Dom")</f>
        <v>Vie</v>
      </c>
      <c r="D94" s="17" t="str">
        <f aca="false">INDEX(Calendario!$D$5:$D$33,A94)</f>
        <v>Renta Fija</v>
      </c>
      <c r="E94" s="17" t="str">
        <f aca="false">INDEX(Rutina!$D$5:$D$11,WEEKDAY(B94,2))</f>
        <v>L + Q</v>
      </c>
      <c r="F94" s="7" t="n">
        <f aca="false">IF(B94&gt;Panel!$B$5,0,MAX(0,INDEX(Rutina!$B$5:$B$11,WEEKDAY(B94,2))*(1-MIN(1,SUMPRODUCT((Eventos!$A$5:$A$40&lt;=B94)*(Eventos!$B$5:$B$40&gt;=B94)*Eventos!$D$5:$D$40)))+SUMPRODUCT((Eventos!$A$5:$A$40&lt;=B94)*(Eventos!$B$5:$B$40&gt;=B94)*Eventos!$E$5:$E$40)))</f>
        <v>2</v>
      </c>
      <c r="G94" s="18"/>
      <c r="H94" s="7" t="str">
        <f aca="false">IF(G94="","",G94*Panel!$B$8)</f>
        <v/>
      </c>
      <c r="I94" s="18"/>
      <c r="J94" s="18"/>
      <c r="K94" s="18"/>
      <c r="L94" s="8"/>
      <c r="M94" s="17" t="str">
        <f aca="false">IF(L94="","",IF(OR(WEEKDAY(B94,2)=5,WEEKDAY(B94,2)=6),"—",IF(AND(L94&gt;=0.5,L94&lt;=Panel!$B$11),"Sí","No")))</f>
        <v/>
      </c>
      <c r="N94" s="18"/>
    </row>
    <row r="95" customFormat="false" ht="15" hidden="false" customHeight="false" outlineLevel="0" collapsed="false">
      <c r="A95" s="17" t="n">
        <f aca="false">INT((B95-Panel!$B$4)/7)+1</f>
        <v>13</v>
      </c>
      <c r="B95" s="5" t="n">
        <f aca="false">B94+1</f>
        <v>46417</v>
      </c>
      <c r="C95" s="17" t="str">
        <f aca="false">CHOOSE(WEEKDAY(B95,2),"Lun","Mar","Mié","Jue","Vie","Sáb","Dom")</f>
        <v>Sáb</v>
      </c>
      <c r="D95" s="17" t="str">
        <f aca="false">INDEX(Calendario!$D$5:$D$33,A95)</f>
        <v>Renta Fija</v>
      </c>
      <c r="E95" s="17" t="str">
        <f aca="false">INDEX(Rutina!$D$5:$D$11,WEEKDAY(B95,2))</f>
        <v>L + R</v>
      </c>
      <c r="F95" s="7" t="n">
        <f aca="false">IF(B95&gt;Panel!$B$5,0,MAX(0,INDEX(Rutina!$B$5:$B$11,WEEKDAY(B95,2))*(1-MIN(1,SUMPRODUCT((Eventos!$A$5:$A$40&lt;=B95)*(Eventos!$B$5:$B$40&gt;=B95)*Eventos!$D$5:$D$40)))+SUMPRODUCT((Eventos!$A$5:$A$40&lt;=B95)*(Eventos!$B$5:$B$40&gt;=B95)*Eventos!$E$5:$E$40)))</f>
        <v>2</v>
      </c>
      <c r="G95" s="18"/>
      <c r="H95" s="7" t="str">
        <f aca="false">IF(G95="","",G95*Panel!$B$8)</f>
        <v/>
      </c>
      <c r="I95" s="18"/>
      <c r="J95" s="18"/>
      <c r="K95" s="18"/>
      <c r="L95" s="8"/>
      <c r="M95" s="17" t="str">
        <f aca="false">IF(L95="","",IF(OR(WEEKDAY(B95,2)=5,WEEKDAY(B95,2)=6),"—",IF(AND(L95&gt;=0.5,L95&lt;=Panel!$B$11),"Sí","No")))</f>
        <v/>
      </c>
      <c r="N95" s="18"/>
    </row>
    <row r="96" customFormat="false" ht="15" hidden="false" customHeight="false" outlineLevel="0" collapsed="false">
      <c r="A96" s="17" t="n">
        <f aca="false">INT((B96-Panel!$B$4)/7)+1</f>
        <v>13</v>
      </c>
      <c r="B96" s="5" t="n">
        <f aca="false">B95+1</f>
        <v>46418</v>
      </c>
      <c r="C96" s="17" t="str">
        <f aca="false">CHOOSE(WEEKDAY(B96,2),"Lun","Mar","Mié","Jue","Vie","Sáb","Dom")</f>
        <v>Dom</v>
      </c>
      <c r="D96" s="17" t="str">
        <f aca="false">INDEX(Calendario!$D$5:$D$33,A96)</f>
        <v>Renta Fija</v>
      </c>
      <c r="E96" s="17" t="str">
        <f aca="false">INDEX(Rutina!$D$5:$D$11,WEEKDAY(B96,2))</f>
        <v>V + F</v>
      </c>
      <c r="F96" s="7" t="n">
        <f aca="false">IF(B96&gt;Panel!$B$5,0,MAX(0,INDEX(Rutina!$B$5:$B$11,WEEKDAY(B96,2))*(1-MIN(1,SUMPRODUCT((Eventos!$A$5:$A$40&lt;=B96)*(Eventos!$B$5:$B$40&gt;=B96)*Eventos!$D$5:$D$40)))+SUMPRODUCT((Eventos!$A$5:$A$40&lt;=B96)*(Eventos!$B$5:$B$40&gt;=B96)*Eventos!$E$5:$E$40)))</f>
        <v>2</v>
      </c>
      <c r="G96" s="18"/>
      <c r="H96" s="7" t="str">
        <f aca="false">IF(G96="","",G96*Panel!$B$8)</f>
        <v/>
      </c>
      <c r="I96" s="18"/>
      <c r="J96" s="18"/>
      <c r="K96" s="18"/>
      <c r="L96" s="8"/>
      <c r="M96" s="17" t="str">
        <f aca="false">IF(L96="","",IF(OR(WEEKDAY(B96,2)=5,WEEKDAY(B96,2)=6),"—",IF(AND(L96&gt;=0.5,L96&lt;=Panel!$B$11),"Sí","No")))</f>
        <v/>
      </c>
      <c r="N96" s="18"/>
    </row>
    <row r="97" customFormat="false" ht="15" hidden="false" customHeight="false" outlineLevel="0" collapsed="false">
      <c r="A97" s="17" t="n">
        <f aca="false">INT((B97-Panel!$B$4)/7)+1</f>
        <v>14</v>
      </c>
      <c r="B97" s="5" t="n">
        <f aca="false">B96+1</f>
        <v>46419</v>
      </c>
      <c r="C97" s="17" t="str">
        <f aca="false">CHOOSE(WEEKDAY(B97,2),"Lun","Mar","Mié","Jue","Vie","Sáb","Dom")</f>
        <v>Lun</v>
      </c>
      <c r="D97" s="17" t="str">
        <f aca="false">INDEX(Calendario!$D$5:$D$33,A97)</f>
        <v>Renta Fija</v>
      </c>
      <c r="E97" s="17" t="str">
        <f aca="false">INDEX(Rutina!$D$5:$D$11,WEEKDAY(B97,2))</f>
        <v>R</v>
      </c>
      <c r="F97" s="7" t="n">
        <f aca="false">IF(B97&gt;Panel!$B$5,0,MAX(0,INDEX(Rutina!$B$5:$B$11,WEEKDAY(B97,2))*(1-MIN(1,SUMPRODUCT((Eventos!$A$5:$A$40&lt;=B97)*(Eventos!$B$5:$B$40&gt;=B97)*Eventos!$D$5:$D$40)))+SUMPRODUCT((Eventos!$A$5:$A$40&lt;=B97)*(Eventos!$B$5:$B$40&gt;=B97)*Eventos!$E$5:$E$40)))</f>
        <v>1</v>
      </c>
      <c r="G97" s="18"/>
      <c r="H97" s="7" t="str">
        <f aca="false">IF(G97="","",G97*Panel!$B$8)</f>
        <v/>
      </c>
      <c r="I97" s="18"/>
      <c r="J97" s="18"/>
      <c r="K97" s="18"/>
      <c r="L97" s="8"/>
      <c r="M97" s="17" t="str">
        <f aca="false">IF(L97="","",IF(OR(WEEKDAY(B97,2)=5,WEEKDAY(B97,2)=6),"—",IF(AND(L97&gt;=0.5,L97&lt;=Panel!$B$11),"Sí","No")))</f>
        <v/>
      </c>
      <c r="N97" s="18"/>
    </row>
    <row r="98" customFormat="false" ht="15" hidden="false" customHeight="false" outlineLevel="0" collapsed="false">
      <c r="A98" s="17" t="n">
        <f aca="false">INT((B98-Panel!$B$4)/7)+1</f>
        <v>14</v>
      </c>
      <c r="B98" s="5" t="n">
        <f aca="false">B97+1</f>
        <v>46420</v>
      </c>
      <c r="C98" s="17" t="str">
        <f aca="false">CHOOSE(WEEKDAY(B98,2),"Lun","Mar","Mié","Jue","Vie","Sáb","Dom")</f>
        <v>Mar</v>
      </c>
      <c r="D98" s="17" t="str">
        <f aca="false">INDEX(Calendario!$D$5:$D$33,A98)</f>
        <v>Renta Fija</v>
      </c>
      <c r="E98" s="17" t="str">
        <f aca="false">INDEX(Rutina!$D$5:$D$11,WEEKDAY(B98,2))</f>
        <v>R</v>
      </c>
      <c r="F98" s="7" t="n">
        <f aca="false">IF(B98&gt;Panel!$B$5,0,MAX(0,INDEX(Rutina!$B$5:$B$11,WEEKDAY(B98,2))*(1-MIN(1,SUMPRODUCT((Eventos!$A$5:$A$40&lt;=B98)*(Eventos!$B$5:$B$40&gt;=B98)*Eventos!$D$5:$D$40)))+SUMPRODUCT((Eventos!$A$5:$A$40&lt;=B98)*(Eventos!$B$5:$B$40&gt;=B98)*Eventos!$E$5:$E$40)))</f>
        <v>1</v>
      </c>
      <c r="G98" s="18"/>
      <c r="H98" s="7" t="str">
        <f aca="false">IF(G98="","",G98*Panel!$B$8)</f>
        <v/>
      </c>
      <c r="I98" s="18"/>
      <c r="J98" s="18"/>
      <c r="K98" s="18"/>
      <c r="L98" s="8"/>
      <c r="M98" s="17" t="str">
        <f aca="false">IF(L98="","",IF(OR(WEEKDAY(B98,2)=5,WEEKDAY(B98,2)=6),"—",IF(AND(L98&gt;=0.5,L98&lt;=Panel!$B$11),"Sí","No")))</f>
        <v/>
      </c>
      <c r="N98" s="18"/>
    </row>
    <row r="99" customFormat="false" ht="15" hidden="false" customHeight="false" outlineLevel="0" collapsed="false">
      <c r="A99" s="17" t="n">
        <f aca="false">INT((B99-Panel!$B$4)/7)+1</f>
        <v>14</v>
      </c>
      <c r="B99" s="5" t="n">
        <f aca="false">B98+1</f>
        <v>46421</v>
      </c>
      <c r="C99" s="17" t="str">
        <f aca="false">CHOOSE(WEEKDAY(B99,2),"Lun","Mar","Mié","Jue","Vie","Sáb","Dom")</f>
        <v>Mié</v>
      </c>
      <c r="D99" s="17" t="str">
        <f aca="false">INDEX(Calendario!$D$5:$D$33,A99)</f>
        <v>Renta Fija</v>
      </c>
      <c r="E99" s="17" t="str">
        <f aca="false">INDEX(Rutina!$D$5:$D$11,WEEKDAY(B99,2))</f>
        <v>Q</v>
      </c>
      <c r="F99" s="7" t="n">
        <f aca="false">IF(B99&gt;Panel!$B$5,0,MAX(0,INDEX(Rutina!$B$5:$B$11,WEEKDAY(B99,2))*(1-MIN(1,SUMPRODUCT((Eventos!$A$5:$A$40&lt;=B99)*(Eventos!$B$5:$B$40&gt;=B99)*Eventos!$D$5:$D$40)))+SUMPRODUCT((Eventos!$A$5:$A$40&lt;=B99)*(Eventos!$B$5:$B$40&gt;=B99)*Eventos!$E$5:$E$40)))</f>
        <v>1</v>
      </c>
      <c r="G99" s="18"/>
      <c r="H99" s="7" t="str">
        <f aca="false">IF(G99="","",G99*Panel!$B$8)</f>
        <v/>
      </c>
      <c r="I99" s="18"/>
      <c r="J99" s="18"/>
      <c r="K99" s="18"/>
      <c r="L99" s="8"/>
      <c r="M99" s="17" t="str">
        <f aca="false">IF(L99="","",IF(OR(WEEKDAY(B99,2)=5,WEEKDAY(B99,2)=6),"—",IF(AND(L99&gt;=0.5,L99&lt;=Panel!$B$11),"Sí","No")))</f>
        <v/>
      </c>
      <c r="N99" s="18"/>
    </row>
    <row r="100" customFormat="false" ht="15" hidden="false" customHeight="false" outlineLevel="0" collapsed="false">
      <c r="A100" s="17" t="n">
        <f aca="false">INT((B100-Panel!$B$4)/7)+1</f>
        <v>14</v>
      </c>
      <c r="B100" s="5" t="n">
        <f aca="false">B99+1</f>
        <v>46422</v>
      </c>
      <c r="C100" s="17" t="str">
        <f aca="false">CHOOSE(WEEKDAY(B100,2),"Lun","Mar","Mié","Jue","Vie","Sáb","Dom")</f>
        <v>Jue</v>
      </c>
      <c r="D100" s="17" t="str">
        <f aca="false">INDEX(Calendario!$D$5:$D$33,A100)</f>
        <v>Renta Fija</v>
      </c>
      <c r="E100" s="17" t="str">
        <f aca="false">INDEX(Rutina!$D$5:$D$11,WEEKDAY(B100,2))</f>
        <v>Q</v>
      </c>
      <c r="F100" s="7" t="n">
        <f aca="false">IF(B100&gt;Panel!$B$5,0,MAX(0,INDEX(Rutina!$B$5:$B$11,WEEKDAY(B100,2))*(1-MIN(1,SUMPRODUCT((Eventos!$A$5:$A$40&lt;=B100)*(Eventos!$B$5:$B$40&gt;=B100)*Eventos!$D$5:$D$40)))+SUMPRODUCT((Eventos!$A$5:$A$40&lt;=B100)*(Eventos!$B$5:$B$40&gt;=B100)*Eventos!$E$5:$E$40)))</f>
        <v>1</v>
      </c>
      <c r="G100" s="18"/>
      <c r="H100" s="7" t="str">
        <f aca="false">IF(G100="","",G100*Panel!$B$8)</f>
        <v/>
      </c>
      <c r="I100" s="18"/>
      <c r="J100" s="18"/>
      <c r="K100" s="18"/>
      <c r="L100" s="8"/>
      <c r="M100" s="17" t="str">
        <f aca="false">IF(L100="","",IF(OR(WEEKDAY(B100,2)=5,WEEKDAY(B100,2)=6),"—",IF(AND(L100&gt;=0.5,L100&lt;=Panel!$B$11),"Sí","No")))</f>
        <v/>
      </c>
      <c r="N100" s="18"/>
    </row>
    <row r="101" customFormat="false" ht="15" hidden="false" customHeight="false" outlineLevel="0" collapsed="false">
      <c r="A101" s="17" t="n">
        <f aca="false">INT((B101-Panel!$B$4)/7)+1</f>
        <v>14</v>
      </c>
      <c r="B101" s="5" t="n">
        <f aca="false">B100+1</f>
        <v>46423</v>
      </c>
      <c r="C101" s="17" t="str">
        <f aca="false">CHOOSE(WEEKDAY(B101,2),"Lun","Mar","Mié","Jue","Vie","Sáb","Dom")</f>
        <v>Vie</v>
      </c>
      <c r="D101" s="17" t="str">
        <f aca="false">INDEX(Calendario!$D$5:$D$33,A101)</f>
        <v>Renta Fija</v>
      </c>
      <c r="E101" s="17" t="str">
        <f aca="false">INDEX(Rutina!$D$5:$D$11,WEEKDAY(B101,2))</f>
        <v>L + Q</v>
      </c>
      <c r="F101" s="7" t="n">
        <f aca="false">IF(B101&gt;Panel!$B$5,0,MAX(0,INDEX(Rutina!$B$5:$B$11,WEEKDAY(B101,2))*(1-MIN(1,SUMPRODUCT((Eventos!$A$5:$A$40&lt;=B101)*(Eventos!$B$5:$B$40&gt;=B101)*Eventos!$D$5:$D$40)))+SUMPRODUCT((Eventos!$A$5:$A$40&lt;=B101)*(Eventos!$B$5:$B$40&gt;=B101)*Eventos!$E$5:$E$40)))</f>
        <v>2</v>
      </c>
      <c r="G101" s="18"/>
      <c r="H101" s="7" t="str">
        <f aca="false">IF(G101="","",G101*Panel!$B$8)</f>
        <v/>
      </c>
      <c r="I101" s="18"/>
      <c r="J101" s="18"/>
      <c r="K101" s="18"/>
      <c r="L101" s="8"/>
      <c r="M101" s="17" t="str">
        <f aca="false">IF(L101="","",IF(OR(WEEKDAY(B101,2)=5,WEEKDAY(B101,2)=6),"—",IF(AND(L101&gt;=0.5,L101&lt;=Panel!$B$11),"Sí","No")))</f>
        <v/>
      </c>
      <c r="N101" s="18"/>
    </row>
    <row r="102" customFormat="false" ht="15" hidden="false" customHeight="false" outlineLevel="0" collapsed="false">
      <c r="A102" s="17" t="n">
        <f aca="false">INT((B102-Panel!$B$4)/7)+1</f>
        <v>14</v>
      </c>
      <c r="B102" s="5" t="n">
        <f aca="false">B101+1</f>
        <v>46424</v>
      </c>
      <c r="C102" s="17" t="str">
        <f aca="false">CHOOSE(WEEKDAY(B102,2),"Lun","Mar","Mié","Jue","Vie","Sáb","Dom")</f>
        <v>Sáb</v>
      </c>
      <c r="D102" s="17" t="str">
        <f aca="false">INDEX(Calendario!$D$5:$D$33,A102)</f>
        <v>Renta Fija</v>
      </c>
      <c r="E102" s="17" t="str">
        <f aca="false">INDEX(Rutina!$D$5:$D$11,WEEKDAY(B102,2))</f>
        <v>L + R</v>
      </c>
      <c r="F102" s="7" t="n">
        <f aca="false">IF(B102&gt;Panel!$B$5,0,MAX(0,INDEX(Rutina!$B$5:$B$11,WEEKDAY(B102,2))*(1-MIN(1,SUMPRODUCT((Eventos!$A$5:$A$40&lt;=B102)*(Eventos!$B$5:$B$40&gt;=B102)*Eventos!$D$5:$D$40)))+SUMPRODUCT((Eventos!$A$5:$A$40&lt;=B102)*(Eventos!$B$5:$B$40&gt;=B102)*Eventos!$E$5:$E$40)))</f>
        <v>2</v>
      </c>
      <c r="G102" s="18"/>
      <c r="H102" s="7" t="str">
        <f aca="false">IF(G102="","",G102*Panel!$B$8)</f>
        <v/>
      </c>
      <c r="I102" s="18"/>
      <c r="J102" s="18"/>
      <c r="K102" s="18"/>
      <c r="L102" s="8"/>
      <c r="M102" s="17" t="str">
        <f aca="false">IF(L102="","",IF(OR(WEEKDAY(B102,2)=5,WEEKDAY(B102,2)=6),"—",IF(AND(L102&gt;=0.5,L102&lt;=Panel!$B$11),"Sí","No")))</f>
        <v/>
      </c>
      <c r="N102" s="18"/>
    </row>
    <row r="103" customFormat="false" ht="15" hidden="false" customHeight="false" outlineLevel="0" collapsed="false">
      <c r="A103" s="17" t="n">
        <f aca="false">INT((B103-Panel!$B$4)/7)+1</f>
        <v>14</v>
      </c>
      <c r="B103" s="5" t="n">
        <f aca="false">B102+1</f>
        <v>46425</v>
      </c>
      <c r="C103" s="17" t="str">
        <f aca="false">CHOOSE(WEEKDAY(B103,2),"Lun","Mar","Mié","Jue","Vie","Sáb","Dom")</f>
        <v>Dom</v>
      </c>
      <c r="D103" s="17" t="str">
        <f aca="false">INDEX(Calendario!$D$5:$D$33,A103)</f>
        <v>Renta Fija</v>
      </c>
      <c r="E103" s="17" t="str">
        <f aca="false">INDEX(Rutina!$D$5:$D$11,WEEKDAY(B103,2))</f>
        <v>V + F</v>
      </c>
      <c r="F103" s="7" t="n">
        <f aca="false">IF(B103&gt;Panel!$B$5,0,MAX(0,INDEX(Rutina!$B$5:$B$11,WEEKDAY(B103,2))*(1-MIN(1,SUMPRODUCT((Eventos!$A$5:$A$40&lt;=B103)*(Eventos!$B$5:$B$40&gt;=B103)*Eventos!$D$5:$D$40)))+SUMPRODUCT((Eventos!$A$5:$A$40&lt;=B103)*(Eventos!$B$5:$B$40&gt;=B103)*Eventos!$E$5:$E$40)))</f>
        <v>2</v>
      </c>
      <c r="G103" s="18"/>
      <c r="H103" s="7" t="str">
        <f aca="false">IF(G103="","",G103*Panel!$B$8)</f>
        <v/>
      </c>
      <c r="I103" s="18"/>
      <c r="J103" s="18"/>
      <c r="K103" s="18"/>
      <c r="L103" s="8"/>
      <c r="M103" s="17" t="str">
        <f aca="false">IF(L103="","",IF(OR(WEEKDAY(B103,2)=5,WEEKDAY(B103,2)=6),"—",IF(AND(L103&gt;=0.5,L103&lt;=Panel!$B$11),"Sí","No")))</f>
        <v/>
      </c>
      <c r="N103" s="18"/>
    </row>
    <row r="104" customFormat="false" ht="15" hidden="false" customHeight="false" outlineLevel="0" collapsed="false">
      <c r="A104" s="17" t="n">
        <f aca="false">INT((B104-Panel!$B$4)/7)+1</f>
        <v>15</v>
      </c>
      <c r="B104" s="5" t="n">
        <f aca="false">B103+1</f>
        <v>46426</v>
      </c>
      <c r="C104" s="17" t="str">
        <f aca="false">CHOOSE(WEEKDAY(B104,2),"Lun","Mar","Mié","Jue","Vie","Sáb","Dom")</f>
        <v>Lun</v>
      </c>
      <c r="D104" s="17" t="str">
        <f aca="false">INDEX(Calendario!$D$5:$D$33,A104)</f>
        <v>Renta Fija</v>
      </c>
      <c r="E104" s="17" t="str">
        <f aca="false">INDEX(Rutina!$D$5:$D$11,WEEKDAY(B104,2))</f>
        <v>R</v>
      </c>
      <c r="F104" s="7" t="n">
        <f aca="false">IF(B104&gt;Panel!$B$5,0,MAX(0,INDEX(Rutina!$B$5:$B$11,WEEKDAY(B104,2))*(1-MIN(1,SUMPRODUCT((Eventos!$A$5:$A$40&lt;=B104)*(Eventos!$B$5:$B$40&gt;=B104)*Eventos!$D$5:$D$40)))+SUMPRODUCT((Eventos!$A$5:$A$40&lt;=B104)*(Eventos!$B$5:$B$40&gt;=B104)*Eventos!$E$5:$E$40)))</f>
        <v>1</v>
      </c>
      <c r="G104" s="18"/>
      <c r="H104" s="7" t="str">
        <f aca="false">IF(G104="","",G104*Panel!$B$8)</f>
        <v/>
      </c>
      <c r="I104" s="18"/>
      <c r="J104" s="18"/>
      <c r="K104" s="18"/>
      <c r="L104" s="8"/>
      <c r="M104" s="17" t="str">
        <f aca="false">IF(L104="","",IF(OR(WEEKDAY(B104,2)=5,WEEKDAY(B104,2)=6),"—",IF(AND(L104&gt;=0.5,L104&lt;=Panel!$B$11),"Sí","No")))</f>
        <v/>
      </c>
      <c r="N104" s="18"/>
    </row>
    <row r="105" customFormat="false" ht="15" hidden="false" customHeight="false" outlineLevel="0" collapsed="false">
      <c r="A105" s="17" t="n">
        <f aca="false">INT((B105-Panel!$B$4)/7)+1</f>
        <v>15</v>
      </c>
      <c r="B105" s="5" t="n">
        <f aca="false">B104+1</f>
        <v>46427</v>
      </c>
      <c r="C105" s="17" t="str">
        <f aca="false">CHOOSE(WEEKDAY(B105,2),"Lun","Mar","Mié","Jue","Vie","Sáb","Dom")</f>
        <v>Mar</v>
      </c>
      <c r="D105" s="17" t="str">
        <f aca="false">INDEX(Calendario!$D$5:$D$33,A105)</f>
        <v>Renta Fija</v>
      </c>
      <c r="E105" s="17" t="str">
        <f aca="false">INDEX(Rutina!$D$5:$D$11,WEEKDAY(B105,2))</f>
        <v>R</v>
      </c>
      <c r="F105" s="7" t="n">
        <f aca="false">IF(B105&gt;Panel!$B$5,0,MAX(0,INDEX(Rutina!$B$5:$B$11,WEEKDAY(B105,2))*(1-MIN(1,SUMPRODUCT((Eventos!$A$5:$A$40&lt;=B105)*(Eventos!$B$5:$B$40&gt;=B105)*Eventos!$D$5:$D$40)))+SUMPRODUCT((Eventos!$A$5:$A$40&lt;=B105)*(Eventos!$B$5:$B$40&gt;=B105)*Eventos!$E$5:$E$40)))</f>
        <v>1</v>
      </c>
      <c r="G105" s="18"/>
      <c r="H105" s="7" t="str">
        <f aca="false">IF(G105="","",G105*Panel!$B$8)</f>
        <v/>
      </c>
      <c r="I105" s="18"/>
      <c r="J105" s="18"/>
      <c r="K105" s="18"/>
      <c r="L105" s="8"/>
      <c r="M105" s="17" t="str">
        <f aca="false">IF(L105="","",IF(OR(WEEKDAY(B105,2)=5,WEEKDAY(B105,2)=6),"—",IF(AND(L105&gt;=0.5,L105&lt;=Panel!$B$11),"Sí","No")))</f>
        <v/>
      </c>
      <c r="N105" s="18"/>
    </row>
    <row r="106" customFormat="false" ht="15" hidden="false" customHeight="false" outlineLevel="0" collapsed="false">
      <c r="A106" s="17" t="n">
        <f aca="false">INT((B106-Panel!$B$4)/7)+1</f>
        <v>15</v>
      </c>
      <c r="B106" s="5" t="n">
        <f aca="false">B105+1</f>
        <v>46428</v>
      </c>
      <c r="C106" s="17" t="str">
        <f aca="false">CHOOSE(WEEKDAY(B106,2),"Lun","Mar","Mié","Jue","Vie","Sáb","Dom")</f>
        <v>Mié</v>
      </c>
      <c r="D106" s="17" t="str">
        <f aca="false">INDEX(Calendario!$D$5:$D$33,A106)</f>
        <v>Renta Fija</v>
      </c>
      <c r="E106" s="17" t="str">
        <f aca="false">INDEX(Rutina!$D$5:$D$11,WEEKDAY(B106,2))</f>
        <v>Q</v>
      </c>
      <c r="F106" s="7" t="n">
        <f aca="false">IF(B106&gt;Panel!$B$5,0,MAX(0,INDEX(Rutina!$B$5:$B$11,WEEKDAY(B106,2))*(1-MIN(1,SUMPRODUCT((Eventos!$A$5:$A$40&lt;=B106)*(Eventos!$B$5:$B$40&gt;=B106)*Eventos!$D$5:$D$40)))+SUMPRODUCT((Eventos!$A$5:$A$40&lt;=B106)*(Eventos!$B$5:$B$40&gt;=B106)*Eventos!$E$5:$E$40)))</f>
        <v>1</v>
      </c>
      <c r="G106" s="18"/>
      <c r="H106" s="7" t="str">
        <f aca="false">IF(G106="","",G106*Panel!$B$8)</f>
        <v/>
      </c>
      <c r="I106" s="18"/>
      <c r="J106" s="18"/>
      <c r="K106" s="18"/>
      <c r="L106" s="8"/>
      <c r="M106" s="17" t="str">
        <f aca="false">IF(L106="","",IF(OR(WEEKDAY(B106,2)=5,WEEKDAY(B106,2)=6),"—",IF(AND(L106&gt;=0.5,L106&lt;=Panel!$B$11),"Sí","No")))</f>
        <v/>
      </c>
      <c r="N106" s="18"/>
    </row>
    <row r="107" customFormat="false" ht="15" hidden="false" customHeight="false" outlineLevel="0" collapsed="false">
      <c r="A107" s="17" t="n">
        <f aca="false">INT((B107-Panel!$B$4)/7)+1</f>
        <v>15</v>
      </c>
      <c r="B107" s="5" t="n">
        <f aca="false">B106+1</f>
        <v>46429</v>
      </c>
      <c r="C107" s="17" t="str">
        <f aca="false">CHOOSE(WEEKDAY(B107,2),"Lun","Mar","Mié","Jue","Vie","Sáb","Dom")</f>
        <v>Jue</v>
      </c>
      <c r="D107" s="17" t="str">
        <f aca="false">INDEX(Calendario!$D$5:$D$33,A107)</f>
        <v>Renta Fija</v>
      </c>
      <c r="E107" s="17" t="str">
        <f aca="false">INDEX(Rutina!$D$5:$D$11,WEEKDAY(B107,2))</f>
        <v>Q</v>
      </c>
      <c r="F107" s="7" t="n">
        <f aca="false">IF(B107&gt;Panel!$B$5,0,MAX(0,INDEX(Rutina!$B$5:$B$11,WEEKDAY(B107,2))*(1-MIN(1,SUMPRODUCT((Eventos!$A$5:$A$40&lt;=B107)*(Eventos!$B$5:$B$40&gt;=B107)*Eventos!$D$5:$D$40)))+SUMPRODUCT((Eventos!$A$5:$A$40&lt;=B107)*(Eventos!$B$5:$B$40&gt;=B107)*Eventos!$E$5:$E$40)))</f>
        <v>1</v>
      </c>
      <c r="G107" s="18"/>
      <c r="H107" s="7" t="str">
        <f aca="false">IF(G107="","",G107*Panel!$B$8)</f>
        <v/>
      </c>
      <c r="I107" s="18"/>
      <c r="J107" s="18"/>
      <c r="K107" s="18"/>
      <c r="L107" s="8"/>
      <c r="M107" s="17" t="str">
        <f aca="false">IF(L107="","",IF(OR(WEEKDAY(B107,2)=5,WEEKDAY(B107,2)=6),"—",IF(AND(L107&gt;=0.5,L107&lt;=Panel!$B$11),"Sí","No")))</f>
        <v/>
      </c>
      <c r="N107" s="18"/>
    </row>
    <row r="108" customFormat="false" ht="15" hidden="false" customHeight="false" outlineLevel="0" collapsed="false">
      <c r="A108" s="17" t="n">
        <f aca="false">INT((B108-Panel!$B$4)/7)+1</f>
        <v>15</v>
      </c>
      <c r="B108" s="5" t="n">
        <f aca="false">B107+1</f>
        <v>46430</v>
      </c>
      <c r="C108" s="17" t="str">
        <f aca="false">CHOOSE(WEEKDAY(B108,2),"Lun","Mar","Mié","Jue","Vie","Sáb","Dom")</f>
        <v>Vie</v>
      </c>
      <c r="D108" s="17" t="str">
        <f aca="false">INDEX(Calendario!$D$5:$D$33,A108)</f>
        <v>Renta Fija</v>
      </c>
      <c r="E108" s="17" t="str">
        <f aca="false">INDEX(Rutina!$D$5:$D$11,WEEKDAY(B108,2))</f>
        <v>L + Q</v>
      </c>
      <c r="F108" s="7" t="n">
        <f aca="false">IF(B108&gt;Panel!$B$5,0,MAX(0,INDEX(Rutina!$B$5:$B$11,WEEKDAY(B108,2))*(1-MIN(1,SUMPRODUCT((Eventos!$A$5:$A$40&lt;=B108)*(Eventos!$B$5:$B$40&gt;=B108)*Eventos!$D$5:$D$40)))+SUMPRODUCT((Eventos!$A$5:$A$40&lt;=B108)*(Eventos!$B$5:$B$40&gt;=B108)*Eventos!$E$5:$E$40)))</f>
        <v>0</v>
      </c>
      <c r="G108" s="18"/>
      <c r="H108" s="7" t="str">
        <f aca="false">IF(G108="","",G108*Panel!$B$8)</f>
        <v/>
      </c>
      <c r="I108" s="18"/>
      <c r="J108" s="18"/>
      <c r="K108" s="18"/>
      <c r="L108" s="8"/>
      <c r="M108" s="17" t="str">
        <f aca="false">IF(L108="","",IF(OR(WEEKDAY(B108,2)=5,WEEKDAY(B108,2)=6),"—",IF(AND(L108&gt;=0.5,L108&lt;=Panel!$B$11),"Sí","No")))</f>
        <v/>
      </c>
      <c r="N108" s="18"/>
    </row>
    <row r="109" customFormat="false" ht="15" hidden="false" customHeight="false" outlineLevel="0" collapsed="false">
      <c r="A109" s="17" t="n">
        <f aca="false">INT((B109-Panel!$B$4)/7)+1</f>
        <v>15</v>
      </c>
      <c r="B109" s="5" t="n">
        <f aca="false">B108+1</f>
        <v>46431</v>
      </c>
      <c r="C109" s="17" t="str">
        <f aca="false">CHOOSE(WEEKDAY(B109,2),"Lun","Mar","Mié","Jue","Vie","Sáb","Dom")</f>
        <v>Sáb</v>
      </c>
      <c r="D109" s="17" t="str">
        <f aca="false">INDEX(Calendario!$D$5:$D$33,A109)</f>
        <v>Renta Fija</v>
      </c>
      <c r="E109" s="17" t="str">
        <f aca="false">INDEX(Rutina!$D$5:$D$11,WEEKDAY(B109,2))</f>
        <v>L + R</v>
      </c>
      <c r="F109" s="7" t="n">
        <f aca="false">IF(B109&gt;Panel!$B$5,0,MAX(0,INDEX(Rutina!$B$5:$B$11,WEEKDAY(B109,2))*(1-MIN(1,SUMPRODUCT((Eventos!$A$5:$A$40&lt;=B109)*(Eventos!$B$5:$B$40&gt;=B109)*Eventos!$D$5:$D$40)))+SUMPRODUCT((Eventos!$A$5:$A$40&lt;=B109)*(Eventos!$B$5:$B$40&gt;=B109)*Eventos!$E$5:$E$40)))</f>
        <v>0</v>
      </c>
      <c r="G109" s="18"/>
      <c r="H109" s="7" t="str">
        <f aca="false">IF(G109="","",G109*Panel!$B$8)</f>
        <v/>
      </c>
      <c r="I109" s="18"/>
      <c r="J109" s="18"/>
      <c r="K109" s="18"/>
      <c r="L109" s="8"/>
      <c r="M109" s="17" t="str">
        <f aca="false">IF(L109="","",IF(OR(WEEKDAY(B109,2)=5,WEEKDAY(B109,2)=6),"—",IF(AND(L109&gt;=0.5,L109&lt;=Panel!$B$11),"Sí","No")))</f>
        <v/>
      </c>
      <c r="N109" s="18"/>
    </row>
    <row r="110" customFormat="false" ht="15" hidden="false" customHeight="false" outlineLevel="0" collapsed="false">
      <c r="A110" s="17" t="n">
        <f aca="false">INT((B110-Panel!$B$4)/7)+1</f>
        <v>15</v>
      </c>
      <c r="B110" s="5" t="n">
        <f aca="false">B109+1</f>
        <v>46432</v>
      </c>
      <c r="C110" s="17" t="str">
        <f aca="false">CHOOSE(WEEKDAY(B110,2),"Lun","Mar","Mié","Jue","Vie","Sáb","Dom")</f>
        <v>Dom</v>
      </c>
      <c r="D110" s="17" t="str">
        <f aca="false">INDEX(Calendario!$D$5:$D$33,A110)</f>
        <v>Renta Fija</v>
      </c>
      <c r="E110" s="17" t="str">
        <f aca="false">INDEX(Rutina!$D$5:$D$11,WEEKDAY(B110,2))</f>
        <v>V + F</v>
      </c>
      <c r="F110" s="7" t="n">
        <f aca="false">IF(B110&gt;Panel!$B$5,0,MAX(0,INDEX(Rutina!$B$5:$B$11,WEEKDAY(B110,2))*(1-MIN(1,SUMPRODUCT((Eventos!$A$5:$A$40&lt;=B110)*(Eventos!$B$5:$B$40&gt;=B110)*Eventos!$D$5:$D$40)))+SUMPRODUCT((Eventos!$A$5:$A$40&lt;=B110)*(Eventos!$B$5:$B$40&gt;=B110)*Eventos!$E$5:$E$40)))</f>
        <v>0</v>
      </c>
      <c r="G110" s="18"/>
      <c r="H110" s="7" t="str">
        <f aca="false">IF(G110="","",G110*Panel!$B$8)</f>
        <v/>
      </c>
      <c r="I110" s="18"/>
      <c r="J110" s="18"/>
      <c r="K110" s="18"/>
      <c r="L110" s="8"/>
      <c r="M110" s="17" t="str">
        <f aca="false">IF(L110="","",IF(OR(WEEKDAY(B110,2)=5,WEEKDAY(B110,2)=6),"—",IF(AND(L110&gt;=0.5,L110&lt;=Panel!$B$11),"Sí","No")))</f>
        <v/>
      </c>
      <c r="N110" s="18"/>
    </row>
    <row r="111" customFormat="false" ht="15" hidden="false" customHeight="false" outlineLevel="0" collapsed="false">
      <c r="A111" s="17" t="n">
        <f aca="false">INT((B111-Panel!$B$4)/7)+1</f>
        <v>16</v>
      </c>
      <c r="B111" s="5" t="n">
        <f aca="false">B110+1</f>
        <v>46433</v>
      </c>
      <c r="C111" s="17" t="str">
        <f aca="false">CHOOSE(WEEKDAY(B111,2),"Lun","Mar","Mié","Jue","Vie","Sáb","Dom")</f>
        <v>Lun</v>
      </c>
      <c r="D111" s="17" t="str">
        <f aca="false">INDEX(Calendario!$D$5:$D$33,A111)</f>
        <v>Vacaciones</v>
      </c>
      <c r="E111" s="17" t="str">
        <f aca="false">INDEX(Rutina!$D$5:$D$11,WEEKDAY(B111,2))</f>
        <v>R</v>
      </c>
      <c r="F111" s="7" t="n">
        <f aca="false">IF(B111&gt;Panel!$B$5,0,MAX(0,INDEX(Rutina!$B$5:$B$11,WEEKDAY(B111,2))*(1-MIN(1,SUMPRODUCT((Eventos!$A$5:$A$40&lt;=B111)*(Eventos!$B$5:$B$40&gt;=B111)*Eventos!$D$5:$D$40)))+SUMPRODUCT((Eventos!$A$5:$A$40&lt;=B111)*(Eventos!$B$5:$B$40&gt;=B111)*Eventos!$E$5:$E$40)))</f>
        <v>0</v>
      </c>
      <c r="G111" s="18"/>
      <c r="H111" s="7" t="str">
        <f aca="false">IF(G111="","",G111*Panel!$B$8)</f>
        <v/>
      </c>
      <c r="I111" s="18"/>
      <c r="J111" s="18"/>
      <c r="K111" s="18"/>
      <c r="L111" s="8"/>
      <c r="M111" s="17" t="str">
        <f aca="false">IF(L111="","",IF(OR(WEEKDAY(B111,2)=5,WEEKDAY(B111,2)=6),"—",IF(AND(L111&gt;=0.5,L111&lt;=Panel!$B$11),"Sí","No")))</f>
        <v/>
      </c>
      <c r="N111" s="18"/>
    </row>
    <row r="112" customFormat="false" ht="15" hidden="false" customHeight="false" outlineLevel="0" collapsed="false">
      <c r="A112" s="17" t="n">
        <f aca="false">INT((B112-Panel!$B$4)/7)+1</f>
        <v>16</v>
      </c>
      <c r="B112" s="5" t="n">
        <f aca="false">B111+1</f>
        <v>46434</v>
      </c>
      <c r="C112" s="17" t="str">
        <f aca="false">CHOOSE(WEEKDAY(B112,2),"Lun","Mar","Mié","Jue","Vie","Sáb","Dom")</f>
        <v>Mar</v>
      </c>
      <c r="D112" s="17" t="str">
        <f aca="false">INDEX(Calendario!$D$5:$D$33,A112)</f>
        <v>Vacaciones</v>
      </c>
      <c r="E112" s="17" t="str">
        <f aca="false">INDEX(Rutina!$D$5:$D$11,WEEKDAY(B112,2))</f>
        <v>R</v>
      </c>
      <c r="F112" s="7" t="n">
        <f aca="false">IF(B112&gt;Panel!$B$5,0,MAX(0,INDEX(Rutina!$B$5:$B$11,WEEKDAY(B112,2))*(1-MIN(1,SUMPRODUCT((Eventos!$A$5:$A$40&lt;=B112)*(Eventos!$B$5:$B$40&gt;=B112)*Eventos!$D$5:$D$40)))+SUMPRODUCT((Eventos!$A$5:$A$40&lt;=B112)*(Eventos!$B$5:$B$40&gt;=B112)*Eventos!$E$5:$E$40)))</f>
        <v>0</v>
      </c>
      <c r="G112" s="18"/>
      <c r="H112" s="7" t="str">
        <f aca="false">IF(G112="","",G112*Panel!$B$8)</f>
        <v/>
      </c>
      <c r="I112" s="18"/>
      <c r="J112" s="18"/>
      <c r="K112" s="18"/>
      <c r="L112" s="8"/>
      <c r="M112" s="17" t="str">
        <f aca="false">IF(L112="","",IF(OR(WEEKDAY(B112,2)=5,WEEKDAY(B112,2)=6),"—",IF(AND(L112&gt;=0.5,L112&lt;=Panel!$B$11),"Sí","No")))</f>
        <v/>
      </c>
      <c r="N112" s="18"/>
    </row>
    <row r="113" customFormat="false" ht="15" hidden="false" customHeight="false" outlineLevel="0" collapsed="false">
      <c r="A113" s="17" t="n">
        <f aca="false">INT((B113-Panel!$B$4)/7)+1</f>
        <v>16</v>
      </c>
      <c r="B113" s="5" t="n">
        <f aca="false">B112+1</f>
        <v>46435</v>
      </c>
      <c r="C113" s="17" t="str">
        <f aca="false">CHOOSE(WEEKDAY(B113,2),"Lun","Mar","Mié","Jue","Vie","Sáb","Dom")</f>
        <v>Mié</v>
      </c>
      <c r="D113" s="17" t="str">
        <f aca="false">INDEX(Calendario!$D$5:$D$33,A113)</f>
        <v>Vacaciones</v>
      </c>
      <c r="E113" s="17" t="str">
        <f aca="false">INDEX(Rutina!$D$5:$D$11,WEEKDAY(B113,2))</f>
        <v>Q</v>
      </c>
      <c r="F113" s="7" t="n">
        <f aca="false">IF(B113&gt;Panel!$B$5,0,MAX(0,INDEX(Rutina!$B$5:$B$11,WEEKDAY(B113,2))*(1-MIN(1,SUMPRODUCT((Eventos!$A$5:$A$40&lt;=B113)*(Eventos!$B$5:$B$40&gt;=B113)*Eventos!$D$5:$D$40)))+SUMPRODUCT((Eventos!$A$5:$A$40&lt;=B113)*(Eventos!$B$5:$B$40&gt;=B113)*Eventos!$E$5:$E$40)))</f>
        <v>0</v>
      </c>
      <c r="G113" s="18"/>
      <c r="H113" s="7" t="str">
        <f aca="false">IF(G113="","",G113*Panel!$B$8)</f>
        <v/>
      </c>
      <c r="I113" s="18"/>
      <c r="J113" s="18"/>
      <c r="K113" s="18"/>
      <c r="L113" s="8"/>
      <c r="M113" s="17" t="str">
        <f aca="false">IF(L113="","",IF(OR(WEEKDAY(B113,2)=5,WEEKDAY(B113,2)=6),"—",IF(AND(L113&gt;=0.5,L113&lt;=Panel!$B$11),"Sí","No")))</f>
        <v/>
      </c>
      <c r="N113" s="18"/>
    </row>
    <row r="114" customFormat="false" ht="15" hidden="false" customHeight="false" outlineLevel="0" collapsed="false">
      <c r="A114" s="17" t="n">
        <f aca="false">INT((B114-Panel!$B$4)/7)+1</f>
        <v>16</v>
      </c>
      <c r="B114" s="5" t="n">
        <f aca="false">B113+1</f>
        <v>46436</v>
      </c>
      <c r="C114" s="17" t="str">
        <f aca="false">CHOOSE(WEEKDAY(B114,2),"Lun","Mar","Mié","Jue","Vie","Sáb","Dom")</f>
        <v>Jue</v>
      </c>
      <c r="D114" s="17" t="str">
        <f aca="false">INDEX(Calendario!$D$5:$D$33,A114)</f>
        <v>Vacaciones</v>
      </c>
      <c r="E114" s="17" t="str">
        <f aca="false">INDEX(Rutina!$D$5:$D$11,WEEKDAY(B114,2))</f>
        <v>Q</v>
      </c>
      <c r="F114" s="7" t="n">
        <f aca="false">IF(B114&gt;Panel!$B$5,0,MAX(0,INDEX(Rutina!$B$5:$B$11,WEEKDAY(B114,2))*(1-MIN(1,SUMPRODUCT((Eventos!$A$5:$A$40&lt;=B114)*(Eventos!$B$5:$B$40&gt;=B114)*Eventos!$D$5:$D$40)))+SUMPRODUCT((Eventos!$A$5:$A$40&lt;=B114)*(Eventos!$B$5:$B$40&gt;=B114)*Eventos!$E$5:$E$40)))</f>
        <v>0</v>
      </c>
      <c r="G114" s="18"/>
      <c r="H114" s="7" t="str">
        <f aca="false">IF(G114="","",G114*Panel!$B$8)</f>
        <v/>
      </c>
      <c r="I114" s="18"/>
      <c r="J114" s="18"/>
      <c r="K114" s="18"/>
      <c r="L114" s="8"/>
      <c r="M114" s="17" t="str">
        <f aca="false">IF(L114="","",IF(OR(WEEKDAY(B114,2)=5,WEEKDAY(B114,2)=6),"—",IF(AND(L114&gt;=0.5,L114&lt;=Panel!$B$11),"Sí","No")))</f>
        <v/>
      </c>
      <c r="N114" s="18"/>
    </row>
    <row r="115" customFormat="false" ht="15" hidden="false" customHeight="false" outlineLevel="0" collapsed="false">
      <c r="A115" s="17" t="n">
        <f aca="false">INT((B115-Panel!$B$4)/7)+1</f>
        <v>16</v>
      </c>
      <c r="B115" s="5" t="n">
        <f aca="false">B114+1</f>
        <v>46437</v>
      </c>
      <c r="C115" s="17" t="str">
        <f aca="false">CHOOSE(WEEKDAY(B115,2),"Lun","Mar","Mié","Jue","Vie","Sáb","Dom")</f>
        <v>Vie</v>
      </c>
      <c r="D115" s="17" t="str">
        <f aca="false">INDEX(Calendario!$D$5:$D$33,A115)</f>
        <v>Vacaciones</v>
      </c>
      <c r="E115" s="17" t="str">
        <f aca="false">INDEX(Rutina!$D$5:$D$11,WEEKDAY(B115,2))</f>
        <v>L + Q</v>
      </c>
      <c r="F115" s="7" t="n">
        <f aca="false">IF(B115&gt;Panel!$B$5,0,MAX(0,INDEX(Rutina!$B$5:$B$11,WEEKDAY(B115,2))*(1-MIN(1,SUMPRODUCT((Eventos!$A$5:$A$40&lt;=B115)*(Eventos!$B$5:$B$40&gt;=B115)*Eventos!$D$5:$D$40)))+SUMPRODUCT((Eventos!$A$5:$A$40&lt;=B115)*(Eventos!$B$5:$B$40&gt;=B115)*Eventos!$E$5:$E$40)))</f>
        <v>0</v>
      </c>
      <c r="G115" s="18"/>
      <c r="H115" s="7" t="str">
        <f aca="false">IF(G115="","",G115*Panel!$B$8)</f>
        <v/>
      </c>
      <c r="I115" s="18"/>
      <c r="J115" s="18"/>
      <c r="K115" s="18"/>
      <c r="L115" s="8"/>
      <c r="M115" s="17" t="str">
        <f aca="false">IF(L115="","",IF(OR(WEEKDAY(B115,2)=5,WEEKDAY(B115,2)=6),"—",IF(AND(L115&gt;=0.5,L115&lt;=Panel!$B$11),"Sí","No")))</f>
        <v/>
      </c>
      <c r="N115" s="18"/>
    </row>
    <row r="116" customFormat="false" ht="15" hidden="false" customHeight="false" outlineLevel="0" collapsed="false">
      <c r="A116" s="17" t="n">
        <f aca="false">INT((B116-Panel!$B$4)/7)+1</f>
        <v>16</v>
      </c>
      <c r="B116" s="5" t="n">
        <f aca="false">B115+1</f>
        <v>46438</v>
      </c>
      <c r="C116" s="17" t="str">
        <f aca="false">CHOOSE(WEEKDAY(B116,2),"Lun","Mar","Mié","Jue","Vie","Sáb","Dom")</f>
        <v>Sáb</v>
      </c>
      <c r="D116" s="17" t="str">
        <f aca="false">INDEX(Calendario!$D$5:$D$33,A116)</f>
        <v>Vacaciones</v>
      </c>
      <c r="E116" s="17" t="str">
        <f aca="false">INDEX(Rutina!$D$5:$D$11,WEEKDAY(B116,2))</f>
        <v>L + R</v>
      </c>
      <c r="F116" s="7" t="n">
        <f aca="false">IF(B116&gt;Panel!$B$5,0,MAX(0,INDEX(Rutina!$B$5:$B$11,WEEKDAY(B116,2))*(1-MIN(1,SUMPRODUCT((Eventos!$A$5:$A$40&lt;=B116)*(Eventos!$B$5:$B$40&gt;=B116)*Eventos!$D$5:$D$40)))+SUMPRODUCT((Eventos!$A$5:$A$40&lt;=B116)*(Eventos!$B$5:$B$40&gt;=B116)*Eventos!$E$5:$E$40)))</f>
        <v>0</v>
      </c>
      <c r="G116" s="18"/>
      <c r="H116" s="7" t="str">
        <f aca="false">IF(G116="","",G116*Panel!$B$8)</f>
        <v/>
      </c>
      <c r="I116" s="18"/>
      <c r="J116" s="18"/>
      <c r="K116" s="18"/>
      <c r="L116" s="8"/>
      <c r="M116" s="17" t="str">
        <f aca="false">IF(L116="","",IF(OR(WEEKDAY(B116,2)=5,WEEKDAY(B116,2)=6),"—",IF(AND(L116&gt;=0.5,L116&lt;=Panel!$B$11),"Sí","No")))</f>
        <v/>
      </c>
      <c r="N116" s="18"/>
    </row>
    <row r="117" customFormat="false" ht="15" hidden="false" customHeight="false" outlineLevel="0" collapsed="false">
      <c r="A117" s="17" t="n">
        <f aca="false">INT((B117-Panel!$B$4)/7)+1</f>
        <v>16</v>
      </c>
      <c r="B117" s="5" t="n">
        <f aca="false">B116+1</f>
        <v>46439</v>
      </c>
      <c r="C117" s="17" t="str">
        <f aca="false">CHOOSE(WEEKDAY(B117,2),"Lun","Mar","Mié","Jue","Vie","Sáb","Dom")</f>
        <v>Dom</v>
      </c>
      <c r="D117" s="17" t="str">
        <f aca="false">INDEX(Calendario!$D$5:$D$33,A117)</f>
        <v>Vacaciones</v>
      </c>
      <c r="E117" s="17" t="str">
        <f aca="false">INDEX(Rutina!$D$5:$D$11,WEEKDAY(B117,2))</f>
        <v>V + F</v>
      </c>
      <c r="F117" s="7" t="n">
        <f aca="false">IF(B117&gt;Panel!$B$5,0,MAX(0,INDEX(Rutina!$B$5:$B$11,WEEKDAY(B117,2))*(1-MIN(1,SUMPRODUCT((Eventos!$A$5:$A$40&lt;=B117)*(Eventos!$B$5:$B$40&gt;=B117)*Eventos!$D$5:$D$40)))+SUMPRODUCT((Eventos!$A$5:$A$40&lt;=B117)*(Eventos!$B$5:$B$40&gt;=B117)*Eventos!$E$5:$E$40)))</f>
        <v>0</v>
      </c>
      <c r="G117" s="18"/>
      <c r="H117" s="7" t="str">
        <f aca="false">IF(G117="","",G117*Panel!$B$8)</f>
        <v/>
      </c>
      <c r="I117" s="18"/>
      <c r="J117" s="18"/>
      <c r="K117" s="18"/>
      <c r="L117" s="8"/>
      <c r="M117" s="17" t="str">
        <f aca="false">IF(L117="","",IF(OR(WEEKDAY(B117,2)=5,WEEKDAY(B117,2)=6),"—",IF(AND(L117&gt;=0.5,L117&lt;=Panel!$B$11),"Sí","No")))</f>
        <v/>
      </c>
      <c r="N117" s="18"/>
    </row>
    <row r="118" customFormat="false" ht="15" hidden="false" customHeight="false" outlineLevel="0" collapsed="false">
      <c r="A118" s="17" t="n">
        <f aca="false">INT((B118-Panel!$B$4)/7)+1</f>
        <v>17</v>
      </c>
      <c r="B118" s="5" t="n">
        <f aca="false">B117+1</f>
        <v>46440</v>
      </c>
      <c r="C118" s="17" t="str">
        <f aca="false">CHOOSE(WEEKDAY(B118,2),"Lun","Mar","Mié","Jue","Vie","Sáb","Dom")</f>
        <v>Lun</v>
      </c>
      <c r="D118" s="17" t="str">
        <f aca="false">INDEX(Calendario!$D$5:$D$33,A118)</f>
        <v>Derivados</v>
      </c>
      <c r="E118" s="17" t="str">
        <f aca="false">INDEX(Rutina!$D$5:$D$11,WEEKDAY(B118,2))</f>
        <v>R</v>
      </c>
      <c r="F118" s="7" t="n">
        <f aca="false">IF(B118&gt;Panel!$B$5,0,MAX(0,INDEX(Rutina!$B$5:$B$11,WEEKDAY(B118,2))*(1-MIN(1,SUMPRODUCT((Eventos!$A$5:$A$40&lt;=B118)*(Eventos!$B$5:$B$40&gt;=B118)*Eventos!$D$5:$D$40)))+SUMPRODUCT((Eventos!$A$5:$A$40&lt;=B118)*(Eventos!$B$5:$B$40&gt;=B118)*Eventos!$E$5:$E$40)))</f>
        <v>1</v>
      </c>
      <c r="G118" s="18"/>
      <c r="H118" s="7" t="str">
        <f aca="false">IF(G118="","",G118*Panel!$B$8)</f>
        <v/>
      </c>
      <c r="I118" s="18"/>
      <c r="J118" s="18"/>
      <c r="K118" s="18"/>
      <c r="L118" s="8"/>
      <c r="M118" s="17" t="str">
        <f aca="false">IF(L118="","",IF(OR(WEEKDAY(B118,2)=5,WEEKDAY(B118,2)=6),"—",IF(AND(L118&gt;=0.5,L118&lt;=Panel!$B$11),"Sí","No")))</f>
        <v/>
      </c>
      <c r="N118" s="18"/>
    </row>
    <row r="119" customFormat="false" ht="15" hidden="false" customHeight="false" outlineLevel="0" collapsed="false">
      <c r="A119" s="17" t="n">
        <f aca="false">INT((B119-Panel!$B$4)/7)+1</f>
        <v>17</v>
      </c>
      <c r="B119" s="5" t="n">
        <f aca="false">B118+1</f>
        <v>46441</v>
      </c>
      <c r="C119" s="17" t="str">
        <f aca="false">CHOOSE(WEEKDAY(B119,2),"Lun","Mar","Mié","Jue","Vie","Sáb","Dom")</f>
        <v>Mar</v>
      </c>
      <c r="D119" s="17" t="str">
        <f aca="false">INDEX(Calendario!$D$5:$D$33,A119)</f>
        <v>Derivados</v>
      </c>
      <c r="E119" s="17" t="str">
        <f aca="false">INDEX(Rutina!$D$5:$D$11,WEEKDAY(B119,2))</f>
        <v>R</v>
      </c>
      <c r="F119" s="7" t="n">
        <f aca="false">IF(B119&gt;Panel!$B$5,0,MAX(0,INDEX(Rutina!$B$5:$B$11,WEEKDAY(B119,2))*(1-MIN(1,SUMPRODUCT((Eventos!$A$5:$A$40&lt;=B119)*(Eventos!$B$5:$B$40&gt;=B119)*Eventos!$D$5:$D$40)))+SUMPRODUCT((Eventos!$A$5:$A$40&lt;=B119)*(Eventos!$B$5:$B$40&gt;=B119)*Eventos!$E$5:$E$40)))</f>
        <v>1</v>
      </c>
      <c r="G119" s="18"/>
      <c r="H119" s="7" t="str">
        <f aca="false">IF(G119="","",G119*Panel!$B$8)</f>
        <v/>
      </c>
      <c r="I119" s="18"/>
      <c r="J119" s="18"/>
      <c r="K119" s="18"/>
      <c r="L119" s="8"/>
      <c r="M119" s="17" t="str">
        <f aca="false">IF(L119="","",IF(OR(WEEKDAY(B119,2)=5,WEEKDAY(B119,2)=6),"—",IF(AND(L119&gt;=0.5,L119&lt;=Panel!$B$11),"Sí","No")))</f>
        <v/>
      </c>
      <c r="N119" s="18"/>
    </row>
    <row r="120" customFormat="false" ht="15" hidden="false" customHeight="false" outlineLevel="0" collapsed="false">
      <c r="A120" s="17" t="n">
        <f aca="false">INT((B120-Panel!$B$4)/7)+1</f>
        <v>17</v>
      </c>
      <c r="B120" s="5" t="n">
        <f aca="false">B119+1</f>
        <v>46442</v>
      </c>
      <c r="C120" s="17" t="str">
        <f aca="false">CHOOSE(WEEKDAY(B120,2),"Lun","Mar","Mié","Jue","Vie","Sáb","Dom")</f>
        <v>Mié</v>
      </c>
      <c r="D120" s="17" t="str">
        <f aca="false">INDEX(Calendario!$D$5:$D$33,A120)</f>
        <v>Derivados</v>
      </c>
      <c r="E120" s="17" t="str">
        <f aca="false">INDEX(Rutina!$D$5:$D$11,WEEKDAY(B120,2))</f>
        <v>Q</v>
      </c>
      <c r="F120" s="7" t="n">
        <f aca="false">IF(B120&gt;Panel!$B$5,0,MAX(0,INDEX(Rutina!$B$5:$B$11,WEEKDAY(B120,2))*(1-MIN(1,SUMPRODUCT((Eventos!$A$5:$A$40&lt;=B120)*(Eventos!$B$5:$B$40&gt;=B120)*Eventos!$D$5:$D$40)))+SUMPRODUCT((Eventos!$A$5:$A$40&lt;=B120)*(Eventos!$B$5:$B$40&gt;=B120)*Eventos!$E$5:$E$40)))</f>
        <v>1</v>
      </c>
      <c r="G120" s="18"/>
      <c r="H120" s="7" t="str">
        <f aca="false">IF(G120="","",G120*Panel!$B$8)</f>
        <v/>
      </c>
      <c r="I120" s="18"/>
      <c r="J120" s="18"/>
      <c r="K120" s="18"/>
      <c r="L120" s="8"/>
      <c r="M120" s="17" t="str">
        <f aca="false">IF(L120="","",IF(OR(WEEKDAY(B120,2)=5,WEEKDAY(B120,2)=6),"—",IF(AND(L120&gt;=0.5,L120&lt;=Panel!$B$11),"Sí","No")))</f>
        <v/>
      </c>
      <c r="N120" s="18"/>
    </row>
    <row r="121" customFormat="false" ht="15" hidden="false" customHeight="false" outlineLevel="0" collapsed="false">
      <c r="A121" s="17" t="n">
        <f aca="false">INT((B121-Panel!$B$4)/7)+1</f>
        <v>17</v>
      </c>
      <c r="B121" s="5" t="n">
        <f aca="false">B120+1</f>
        <v>46443</v>
      </c>
      <c r="C121" s="17" t="str">
        <f aca="false">CHOOSE(WEEKDAY(B121,2),"Lun","Mar","Mié","Jue","Vie","Sáb","Dom")</f>
        <v>Jue</v>
      </c>
      <c r="D121" s="17" t="str">
        <f aca="false">INDEX(Calendario!$D$5:$D$33,A121)</f>
        <v>Derivados</v>
      </c>
      <c r="E121" s="17" t="str">
        <f aca="false">INDEX(Rutina!$D$5:$D$11,WEEKDAY(B121,2))</f>
        <v>Q</v>
      </c>
      <c r="F121" s="7" t="n">
        <f aca="false">IF(B121&gt;Panel!$B$5,0,MAX(0,INDEX(Rutina!$B$5:$B$11,WEEKDAY(B121,2))*(1-MIN(1,SUMPRODUCT((Eventos!$A$5:$A$40&lt;=B121)*(Eventos!$B$5:$B$40&gt;=B121)*Eventos!$D$5:$D$40)))+SUMPRODUCT((Eventos!$A$5:$A$40&lt;=B121)*(Eventos!$B$5:$B$40&gt;=B121)*Eventos!$E$5:$E$40)))</f>
        <v>1</v>
      </c>
      <c r="G121" s="18"/>
      <c r="H121" s="7" t="str">
        <f aca="false">IF(G121="","",G121*Panel!$B$8)</f>
        <v/>
      </c>
      <c r="I121" s="18"/>
      <c r="J121" s="18"/>
      <c r="K121" s="18"/>
      <c r="L121" s="8"/>
      <c r="M121" s="17" t="str">
        <f aca="false">IF(L121="","",IF(OR(WEEKDAY(B121,2)=5,WEEKDAY(B121,2)=6),"—",IF(AND(L121&gt;=0.5,L121&lt;=Panel!$B$11),"Sí","No")))</f>
        <v/>
      </c>
      <c r="N121" s="18"/>
    </row>
    <row r="122" customFormat="false" ht="15" hidden="false" customHeight="false" outlineLevel="0" collapsed="false">
      <c r="A122" s="17" t="n">
        <f aca="false">INT((B122-Panel!$B$4)/7)+1</f>
        <v>17</v>
      </c>
      <c r="B122" s="5" t="n">
        <f aca="false">B121+1</f>
        <v>46444</v>
      </c>
      <c r="C122" s="17" t="str">
        <f aca="false">CHOOSE(WEEKDAY(B122,2),"Lun","Mar","Mié","Jue","Vie","Sáb","Dom")</f>
        <v>Vie</v>
      </c>
      <c r="D122" s="17" t="str">
        <f aca="false">INDEX(Calendario!$D$5:$D$33,A122)</f>
        <v>Derivados</v>
      </c>
      <c r="E122" s="17" t="str">
        <f aca="false">INDEX(Rutina!$D$5:$D$11,WEEKDAY(B122,2))</f>
        <v>L + Q</v>
      </c>
      <c r="F122" s="7" t="n">
        <f aca="false">IF(B122&gt;Panel!$B$5,0,MAX(0,INDEX(Rutina!$B$5:$B$11,WEEKDAY(B122,2))*(1-MIN(1,SUMPRODUCT((Eventos!$A$5:$A$40&lt;=B122)*(Eventos!$B$5:$B$40&gt;=B122)*Eventos!$D$5:$D$40)))+SUMPRODUCT((Eventos!$A$5:$A$40&lt;=B122)*(Eventos!$B$5:$B$40&gt;=B122)*Eventos!$E$5:$E$40)))</f>
        <v>2</v>
      </c>
      <c r="G122" s="18"/>
      <c r="H122" s="7" t="str">
        <f aca="false">IF(G122="","",G122*Panel!$B$8)</f>
        <v/>
      </c>
      <c r="I122" s="18"/>
      <c r="J122" s="18"/>
      <c r="K122" s="18"/>
      <c r="L122" s="8"/>
      <c r="M122" s="17" t="str">
        <f aca="false">IF(L122="","",IF(OR(WEEKDAY(B122,2)=5,WEEKDAY(B122,2)=6),"—",IF(AND(L122&gt;=0.5,L122&lt;=Panel!$B$11),"Sí","No")))</f>
        <v/>
      </c>
      <c r="N122" s="18"/>
    </row>
    <row r="123" customFormat="false" ht="15" hidden="false" customHeight="false" outlineLevel="0" collapsed="false">
      <c r="A123" s="17" t="n">
        <f aca="false">INT((B123-Panel!$B$4)/7)+1</f>
        <v>17</v>
      </c>
      <c r="B123" s="5" t="n">
        <f aca="false">B122+1</f>
        <v>46445</v>
      </c>
      <c r="C123" s="17" t="str">
        <f aca="false">CHOOSE(WEEKDAY(B123,2),"Lun","Mar","Mié","Jue","Vie","Sáb","Dom")</f>
        <v>Sáb</v>
      </c>
      <c r="D123" s="17" t="str">
        <f aca="false">INDEX(Calendario!$D$5:$D$33,A123)</f>
        <v>Derivados</v>
      </c>
      <c r="E123" s="17" t="str">
        <f aca="false">INDEX(Rutina!$D$5:$D$11,WEEKDAY(B123,2))</f>
        <v>L + R</v>
      </c>
      <c r="F123" s="7" t="n">
        <f aca="false">IF(B123&gt;Panel!$B$5,0,MAX(0,INDEX(Rutina!$B$5:$B$11,WEEKDAY(B123,2))*(1-MIN(1,SUMPRODUCT((Eventos!$A$5:$A$40&lt;=B123)*(Eventos!$B$5:$B$40&gt;=B123)*Eventos!$D$5:$D$40)))+SUMPRODUCT((Eventos!$A$5:$A$40&lt;=B123)*(Eventos!$B$5:$B$40&gt;=B123)*Eventos!$E$5:$E$40)))</f>
        <v>2</v>
      </c>
      <c r="G123" s="18"/>
      <c r="H123" s="7" t="str">
        <f aca="false">IF(G123="","",G123*Panel!$B$8)</f>
        <v/>
      </c>
      <c r="I123" s="18"/>
      <c r="J123" s="18"/>
      <c r="K123" s="18"/>
      <c r="L123" s="8"/>
      <c r="M123" s="17" t="str">
        <f aca="false">IF(L123="","",IF(OR(WEEKDAY(B123,2)=5,WEEKDAY(B123,2)=6),"—",IF(AND(L123&gt;=0.5,L123&lt;=Panel!$B$11),"Sí","No")))</f>
        <v/>
      </c>
      <c r="N123" s="18"/>
    </row>
    <row r="124" customFormat="false" ht="15" hidden="false" customHeight="false" outlineLevel="0" collapsed="false">
      <c r="A124" s="17" t="n">
        <f aca="false">INT((B124-Panel!$B$4)/7)+1</f>
        <v>17</v>
      </c>
      <c r="B124" s="5" t="n">
        <f aca="false">B123+1</f>
        <v>46446</v>
      </c>
      <c r="C124" s="17" t="str">
        <f aca="false">CHOOSE(WEEKDAY(B124,2),"Lun","Mar","Mié","Jue","Vie","Sáb","Dom")</f>
        <v>Dom</v>
      </c>
      <c r="D124" s="17" t="str">
        <f aca="false">INDEX(Calendario!$D$5:$D$33,A124)</f>
        <v>Derivados</v>
      </c>
      <c r="E124" s="17" t="str">
        <f aca="false">INDEX(Rutina!$D$5:$D$11,WEEKDAY(B124,2))</f>
        <v>V + F</v>
      </c>
      <c r="F124" s="7" t="n">
        <f aca="false">IF(B124&gt;Panel!$B$5,0,MAX(0,INDEX(Rutina!$B$5:$B$11,WEEKDAY(B124,2))*(1-MIN(1,SUMPRODUCT((Eventos!$A$5:$A$40&lt;=B124)*(Eventos!$B$5:$B$40&gt;=B124)*Eventos!$D$5:$D$40)))+SUMPRODUCT((Eventos!$A$5:$A$40&lt;=B124)*(Eventos!$B$5:$B$40&gt;=B124)*Eventos!$E$5:$E$40)))</f>
        <v>2</v>
      </c>
      <c r="G124" s="18"/>
      <c r="H124" s="7" t="str">
        <f aca="false">IF(G124="","",G124*Panel!$B$8)</f>
        <v/>
      </c>
      <c r="I124" s="18"/>
      <c r="J124" s="18"/>
      <c r="K124" s="18"/>
      <c r="L124" s="8"/>
      <c r="M124" s="17" t="str">
        <f aca="false">IF(L124="","",IF(OR(WEEKDAY(B124,2)=5,WEEKDAY(B124,2)=6),"—",IF(AND(L124&gt;=0.5,L124&lt;=Panel!$B$11),"Sí","No")))</f>
        <v/>
      </c>
      <c r="N124" s="18"/>
    </row>
    <row r="125" customFormat="false" ht="15" hidden="false" customHeight="false" outlineLevel="0" collapsed="false">
      <c r="A125" s="17" t="n">
        <f aca="false">INT((B125-Panel!$B$4)/7)+1</f>
        <v>18</v>
      </c>
      <c r="B125" s="5" t="n">
        <f aca="false">B124+1</f>
        <v>46447</v>
      </c>
      <c r="C125" s="17" t="str">
        <f aca="false">CHOOSE(WEEKDAY(B125,2),"Lun","Mar","Mié","Jue","Vie","Sáb","Dom")</f>
        <v>Lun</v>
      </c>
      <c r="D125" s="17" t="str">
        <f aca="false">INDEX(Calendario!$D$5:$D$33,A125)</f>
        <v>Derivados / Alternativos</v>
      </c>
      <c r="E125" s="17" t="str">
        <f aca="false">INDEX(Rutina!$D$5:$D$11,WEEKDAY(B125,2))</f>
        <v>R</v>
      </c>
      <c r="F125" s="7" t="n">
        <f aca="false">IF(B125&gt;Panel!$B$5,0,MAX(0,INDEX(Rutina!$B$5:$B$11,WEEKDAY(B125,2))*(1-MIN(1,SUMPRODUCT((Eventos!$A$5:$A$40&lt;=B125)*(Eventos!$B$5:$B$40&gt;=B125)*Eventos!$D$5:$D$40)))+SUMPRODUCT((Eventos!$A$5:$A$40&lt;=B125)*(Eventos!$B$5:$B$40&gt;=B125)*Eventos!$E$5:$E$40)))</f>
        <v>1</v>
      </c>
      <c r="G125" s="18"/>
      <c r="H125" s="7" t="str">
        <f aca="false">IF(G125="","",G125*Panel!$B$8)</f>
        <v/>
      </c>
      <c r="I125" s="18"/>
      <c r="J125" s="18"/>
      <c r="K125" s="18"/>
      <c r="L125" s="8"/>
      <c r="M125" s="17" t="str">
        <f aca="false">IF(L125="","",IF(OR(WEEKDAY(B125,2)=5,WEEKDAY(B125,2)=6),"—",IF(AND(L125&gt;=0.5,L125&lt;=Panel!$B$11),"Sí","No")))</f>
        <v/>
      </c>
      <c r="N125" s="18"/>
    </row>
    <row r="126" customFormat="false" ht="15" hidden="false" customHeight="false" outlineLevel="0" collapsed="false">
      <c r="A126" s="17" t="n">
        <f aca="false">INT((B126-Panel!$B$4)/7)+1</f>
        <v>18</v>
      </c>
      <c r="B126" s="5" t="n">
        <f aca="false">B125+1</f>
        <v>46448</v>
      </c>
      <c r="C126" s="17" t="str">
        <f aca="false">CHOOSE(WEEKDAY(B126,2),"Lun","Mar","Mié","Jue","Vie","Sáb","Dom")</f>
        <v>Mar</v>
      </c>
      <c r="D126" s="17" t="str">
        <f aca="false">INDEX(Calendario!$D$5:$D$33,A126)</f>
        <v>Derivados / Alternativos</v>
      </c>
      <c r="E126" s="17" t="str">
        <f aca="false">INDEX(Rutina!$D$5:$D$11,WEEKDAY(B126,2))</f>
        <v>R</v>
      </c>
      <c r="F126" s="7" t="n">
        <f aca="false">IF(B126&gt;Panel!$B$5,0,MAX(0,INDEX(Rutina!$B$5:$B$11,WEEKDAY(B126,2))*(1-MIN(1,SUMPRODUCT((Eventos!$A$5:$A$40&lt;=B126)*(Eventos!$B$5:$B$40&gt;=B126)*Eventos!$D$5:$D$40)))+SUMPRODUCT((Eventos!$A$5:$A$40&lt;=B126)*(Eventos!$B$5:$B$40&gt;=B126)*Eventos!$E$5:$E$40)))</f>
        <v>1</v>
      </c>
      <c r="G126" s="18"/>
      <c r="H126" s="7" t="str">
        <f aca="false">IF(G126="","",G126*Panel!$B$8)</f>
        <v/>
      </c>
      <c r="I126" s="18"/>
      <c r="J126" s="18"/>
      <c r="K126" s="18"/>
      <c r="L126" s="8"/>
      <c r="M126" s="17" t="str">
        <f aca="false">IF(L126="","",IF(OR(WEEKDAY(B126,2)=5,WEEKDAY(B126,2)=6),"—",IF(AND(L126&gt;=0.5,L126&lt;=Panel!$B$11),"Sí","No")))</f>
        <v/>
      </c>
      <c r="N126" s="18"/>
    </row>
    <row r="127" customFormat="false" ht="15" hidden="false" customHeight="false" outlineLevel="0" collapsed="false">
      <c r="A127" s="17" t="n">
        <f aca="false">INT((B127-Panel!$B$4)/7)+1</f>
        <v>18</v>
      </c>
      <c r="B127" s="5" t="n">
        <f aca="false">B126+1</f>
        <v>46449</v>
      </c>
      <c r="C127" s="17" t="str">
        <f aca="false">CHOOSE(WEEKDAY(B127,2),"Lun","Mar","Mié","Jue","Vie","Sáb","Dom")</f>
        <v>Mié</v>
      </c>
      <c r="D127" s="17" t="str">
        <f aca="false">INDEX(Calendario!$D$5:$D$33,A127)</f>
        <v>Derivados / Alternativos</v>
      </c>
      <c r="E127" s="17" t="str">
        <f aca="false">INDEX(Rutina!$D$5:$D$11,WEEKDAY(B127,2))</f>
        <v>Q</v>
      </c>
      <c r="F127" s="7" t="n">
        <f aca="false">IF(B127&gt;Panel!$B$5,0,MAX(0,INDEX(Rutina!$B$5:$B$11,WEEKDAY(B127,2))*(1-MIN(1,SUMPRODUCT((Eventos!$A$5:$A$40&lt;=B127)*(Eventos!$B$5:$B$40&gt;=B127)*Eventos!$D$5:$D$40)))+SUMPRODUCT((Eventos!$A$5:$A$40&lt;=B127)*(Eventos!$B$5:$B$40&gt;=B127)*Eventos!$E$5:$E$40)))</f>
        <v>1</v>
      </c>
      <c r="G127" s="18"/>
      <c r="H127" s="7" t="str">
        <f aca="false">IF(G127="","",G127*Panel!$B$8)</f>
        <v/>
      </c>
      <c r="I127" s="18"/>
      <c r="J127" s="18"/>
      <c r="K127" s="18"/>
      <c r="L127" s="8"/>
      <c r="M127" s="17" t="str">
        <f aca="false">IF(L127="","",IF(OR(WEEKDAY(B127,2)=5,WEEKDAY(B127,2)=6),"—",IF(AND(L127&gt;=0.5,L127&lt;=Panel!$B$11),"Sí","No")))</f>
        <v/>
      </c>
      <c r="N127" s="18"/>
    </row>
    <row r="128" customFormat="false" ht="15" hidden="false" customHeight="false" outlineLevel="0" collapsed="false">
      <c r="A128" s="17" t="n">
        <f aca="false">INT((B128-Panel!$B$4)/7)+1</f>
        <v>18</v>
      </c>
      <c r="B128" s="5" t="n">
        <f aca="false">B127+1</f>
        <v>46450</v>
      </c>
      <c r="C128" s="17" t="str">
        <f aca="false">CHOOSE(WEEKDAY(B128,2),"Lun","Mar","Mié","Jue","Vie","Sáb","Dom")</f>
        <v>Jue</v>
      </c>
      <c r="D128" s="17" t="str">
        <f aca="false">INDEX(Calendario!$D$5:$D$33,A128)</f>
        <v>Derivados / Alternativos</v>
      </c>
      <c r="E128" s="17" t="str">
        <f aca="false">INDEX(Rutina!$D$5:$D$11,WEEKDAY(B128,2))</f>
        <v>Q</v>
      </c>
      <c r="F128" s="7" t="n">
        <f aca="false">IF(B128&gt;Panel!$B$5,0,MAX(0,INDEX(Rutina!$B$5:$B$11,WEEKDAY(B128,2))*(1-MIN(1,SUMPRODUCT((Eventos!$A$5:$A$40&lt;=B128)*(Eventos!$B$5:$B$40&gt;=B128)*Eventos!$D$5:$D$40)))+SUMPRODUCT((Eventos!$A$5:$A$40&lt;=B128)*(Eventos!$B$5:$B$40&gt;=B128)*Eventos!$E$5:$E$40)))</f>
        <v>1</v>
      </c>
      <c r="G128" s="18"/>
      <c r="H128" s="7" t="str">
        <f aca="false">IF(G128="","",G128*Panel!$B$8)</f>
        <v/>
      </c>
      <c r="I128" s="18"/>
      <c r="J128" s="18"/>
      <c r="K128" s="18"/>
      <c r="L128" s="8"/>
      <c r="M128" s="17" t="str">
        <f aca="false">IF(L128="","",IF(OR(WEEKDAY(B128,2)=5,WEEKDAY(B128,2)=6),"—",IF(AND(L128&gt;=0.5,L128&lt;=Panel!$B$11),"Sí","No")))</f>
        <v/>
      </c>
      <c r="N128" s="18"/>
    </row>
    <row r="129" customFormat="false" ht="15" hidden="false" customHeight="false" outlineLevel="0" collapsed="false">
      <c r="A129" s="17" t="n">
        <f aca="false">INT((B129-Panel!$B$4)/7)+1</f>
        <v>18</v>
      </c>
      <c r="B129" s="5" t="n">
        <f aca="false">B128+1</f>
        <v>46451</v>
      </c>
      <c r="C129" s="17" t="str">
        <f aca="false">CHOOSE(WEEKDAY(B129,2),"Lun","Mar","Mié","Jue","Vie","Sáb","Dom")</f>
        <v>Vie</v>
      </c>
      <c r="D129" s="17" t="str">
        <f aca="false">INDEX(Calendario!$D$5:$D$33,A129)</f>
        <v>Derivados / Alternativos</v>
      </c>
      <c r="E129" s="17" t="str">
        <f aca="false">INDEX(Rutina!$D$5:$D$11,WEEKDAY(B129,2))</f>
        <v>L + Q</v>
      </c>
      <c r="F129" s="7" t="n">
        <f aca="false">IF(B129&gt;Panel!$B$5,0,MAX(0,INDEX(Rutina!$B$5:$B$11,WEEKDAY(B129,2))*(1-MIN(1,SUMPRODUCT((Eventos!$A$5:$A$40&lt;=B129)*(Eventos!$B$5:$B$40&gt;=B129)*Eventos!$D$5:$D$40)))+SUMPRODUCT((Eventos!$A$5:$A$40&lt;=B129)*(Eventos!$B$5:$B$40&gt;=B129)*Eventos!$E$5:$E$40)))</f>
        <v>2</v>
      </c>
      <c r="G129" s="18"/>
      <c r="H129" s="7" t="str">
        <f aca="false">IF(G129="","",G129*Panel!$B$8)</f>
        <v/>
      </c>
      <c r="I129" s="18"/>
      <c r="J129" s="18"/>
      <c r="K129" s="18"/>
      <c r="L129" s="8"/>
      <c r="M129" s="17" t="str">
        <f aca="false">IF(L129="","",IF(OR(WEEKDAY(B129,2)=5,WEEKDAY(B129,2)=6),"—",IF(AND(L129&gt;=0.5,L129&lt;=Panel!$B$11),"Sí","No")))</f>
        <v/>
      </c>
      <c r="N129" s="18"/>
    </row>
    <row r="130" customFormat="false" ht="15" hidden="false" customHeight="false" outlineLevel="0" collapsed="false">
      <c r="A130" s="17" t="n">
        <f aca="false">INT((B130-Panel!$B$4)/7)+1</f>
        <v>18</v>
      </c>
      <c r="B130" s="5" t="n">
        <f aca="false">B129+1</f>
        <v>46452</v>
      </c>
      <c r="C130" s="17" t="str">
        <f aca="false">CHOOSE(WEEKDAY(B130,2),"Lun","Mar","Mié","Jue","Vie","Sáb","Dom")</f>
        <v>Sáb</v>
      </c>
      <c r="D130" s="17" t="str">
        <f aca="false">INDEX(Calendario!$D$5:$D$33,A130)</f>
        <v>Derivados / Alternativos</v>
      </c>
      <c r="E130" s="17" t="str">
        <f aca="false">INDEX(Rutina!$D$5:$D$11,WEEKDAY(B130,2))</f>
        <v>L + R</v>
      </c>
      <c r="F130" s="7" t="n">
        <f aca="false">IF(B130&gt;Panel!$B$5,0,MAX(0,INDEX(Rutina!$B$5:$B$11,WEEKDAY(B130,2))*(1-MIN(1,SUMPRODUCT((Eventos!$A$5:$A$40&lt;=B130)*(Eventos!$B$5:$B$40&gt;=B130)*Eventos!$D$5:$D$40)))+SUMPRODUCT((Eventos!$A$5:$A$40&lt;=B130)*(Eventos!$B$5:$B$40&gt;=B130)*Eventos!$E$5:$E$40)))</f>
        <v>2</v>
      </c>
      <c r="G130" s="18"/>
      <c r="H130" s="7" t="str">
        <f aca="false">IF(G130="","",G130*Panel!$B$8)</f>
        <v/>
      </c>
      <c r="I130" s="18"/>
      <c r="J130" s="18"/>
      <c r="K130" s="18"/>
      <c r="L130" s="8"/>
      <c r="M130" s="17" t="str">
        <f aca="false">IF(L130="","",IF(OR(WEEKDAY(B130,2)=5,WEEKDAY(B130,2)=6),"—",IF(AND(L130&gt;=0.5,L130&lt;=Panel!$B$11),"Sí","No")))</f>
        <v/>
      </c>
      <c r="N130" s="18"/>
    </row>
    <row r="131" customFormat="false" ht="15" hidden="false" customHeight="false" outlineLevel="0" collapsed="false">
      <c r="A131" s="17" t="n">
        <f aca="false">INT((B131-Panel!$B$4)/7)+1</f>
        <v>18</v>
      </c>
      <c r="B131" s="5" t="n">
        <f aca="false">B130+1</f>
        <v>46453</v>
      </c>
      <c r="C131" s="17" t="str">
        <f aca="false">CHOOSE(WEEKDAY(B131,2),"Lun","Mar","Mié","Jue","Vie","Sáb","Dom")</f>
        <v>Dom</v>
      </c>
      <c r="D131" s="17" t="str">
        <f aca="false">INDEX(Calendario!$D$5:$D$33,A131)</f>
        <v>Derivados / Alternativos</v>
      </c>
      <c r="E131" s="17" t="str">
        <f aca="false">INDEX(Rutina!$D$5:$D$11,WEEKDAY(B131,2))</f>
        <v>V + F</v>
      </c>
      <c r="F131" s="7" t="n">
        <f aca="false">IF(B131&gt;Panel!$B$5,0,MAX(0,INDEX(Rutina!$B$5:$B$11,WEEKDAY(B131,2))*(1-MIN(1,SUMPRODUCT((Eventos!$A$5:$A$40&lt;=B131)*(Eventos!$B$5:$B$40&gt;=B131)*Eventos!$D$5:$D$40)))+SUMPRODUCT((Eventos!$A$5:$A$40&lt;=B131)*(Eventos!$B$5:$B$40&gt;=B131)*Eventos!$E$5:$E$40)))</f>
        <v>2</v>
      </c>
      <c r="G131" s="18"/>
      <c r="H131" s="7" t="str">
        <f aca="false">IF(G131="","",G131*Panel!$B$8)</f>
        <v/>
      </c>
      <c r="I131" s="18"/>
      <c r="J131" s="18"/>
      <c r="K131" s="18"/>
      <c r="L131" s="8"/>
      <c r="M131" s="17" t="str">
        <f aca="false">IF(L131="","",IF(OR(WEEKDAY(B131,2)=5,WEEKDAY(B131,2)=6),"—",IF(AND(L131&gt;=0.5,L131&lt;=Panel!$B$11),"Sí","No")))</f>
        <v/>
      </c>
      <c r="N131" s="18"/>
    </row>
    <row r="132" customFormat="false" ht="15" hidden="false" customHeight="false" outlineLevel="0" collapsed="false">
      <c r="A132" s="17" t="n">
        <f aca="false">INT((B132-Panel!$B$4)/7)+1</f>
        <v>19</v>
      </c>
      <c r="B132" s="5" t="n">
        <f aca="false">B131+1</f>
        <v>46454</v>
      </c>
      <c r="C132" s="17" t="str">
        <f aca="false">CHOOSE(WEEKDAY(B132,2),"Lun","Mar","Mié","Jue","Vie","Sáb","Dom")</f>
        <v>Lun</v>
      </c>
      <c r="D132" s="17" t="str">
        <f aca="false">INDEX(Calendario!$D$5:$D$33,A132)</f>
        <v>Alternativos</v>
      </c>
      <c r="E132" s="17" t="str">
        <f aca="false">INDEX(Rutina!$D$5:$D$11,WEEKDAY(B132,2))</f>
        <v>R</v>
      </c>
      <c r="F132" s="7" t="n">
        <f aca="false">IF(B132&gt;Panel!$B$5,0,MAX(0,INDEX(Rutina!$B$5:$B$11,WEEKDAY(B132,2))*(1-MIN(1,SUMPRODUCT((Eventos!$A$5:$A$40&lt;=B132)*(Eventos!$B$5:$B$40&gt;=B132)*Eventos!$D$5:$D$40)))+SUMPRODUCT((Eventos!$A$5:$A$40&lt;=B132)*(Eventos!$B$5:$B$40&gt;=B132)*Eventos!$E$5:$E$40)))</f>
        <v>1</v>
      </c>
      <c r="G132" s="18"/>
      <c r="H132" s="7" t="str">
        <f aca="false">IF(G132="","",G132*Panel!$B$8)</f>
        <v/>
      </c>
      <c r="I132" s="18"/>
      <c r="J132" s="18"/>
      <c r="K132" s="18"/>
      <c r="L132" s="8"/>
      <c r="M132" s="17" t="str">
        <f aca="false">IF(L132="","",IF(OR(WEEKDAY(B132,2)=5,WEEKDAY(B132,2)=6),"—",IF(AND(L132&gt;=0.5,L132&lt;=Panel!$B$11),"Sí","No")))</f>
        <v/>
      </c>
      <c r="N132" s="18"/>
    </row>
    <row r="133" customFormat="false" ht="15" hidden="false" customHeight="false" outlineLevel="0" collapsed="false">
      <c r="A133" s="17" t="n">
        <f aca="false">INT((B133-Panel!$B$4)/7)+1</f>
        <v>19</v>
      </c>
      <c r="B133" s="5" t="n">
        <f aca="false">B132+1</f>
        <v>46455</v>
      </c>
      <c r="C133" s="17" t="str">
        <f aca="false">CHOOSE(WEEKDAY(B133,2),"Lun","Mar","Mié","Jue","Vie","Sáb","Dom")</f>
        <v>Mar</v>
      </c>
      <c r="D133" s="17" t="str">
        <f aca="false">INDEX(Calendario!$D$5:$D$33,A133)</f>
        <v>Alternativos</v>
      </c>
      <c r="E133" s="17" t="str">
        <f aca="false">INDEX(Rutina!$D$5:$D$11,WEEKDAY(B133,2))</f>
        <v>R</v>
      </c>
      <c r="F133" s="7" t="n">
        <f aca="false">IF(B133&gt;Panel!$B$5,0,MAX(0,INDEX(Rutina!$B$5:$B$11,WEEKDAY(B133,2))*(1-MIN(1,SUMPRODUCT((Eventos!$A$5:$A$40&lt;=B133)*(Eventos!$B$5:$B$40&gt;=B133)*Eventos!$D$5:$D$40)))+SUMPRODUCT((Eventos!$A$5:$A$40&lt;=B133)*(Eventos!$B$5:$B$40&gt;=B133)*Eventos!$E$5:$E$40)))</f>
        <v>1</v>
      </c>
      <c r="G133" s="18"/>
      <c r="H133" s="7" t="str">
        <f aca="false">IF(G133="","",G133*Panel!$B$8)</f>
        <v/>
      </c>
      <c r="I133" s="18"/>
      <c r="J133" s="18"/>
      <c r="K133" s="18"/>
      <c r="L133" s="8"/>
      <c r="M133" s="17" t="str">
        <f aca="false">IF(L133="","",IF(OR(WEEKDAY(B133,2)=5,WEEKDAY(B133,2)=6),"—",IF(AND(L133&gt;=0.5,L133&lt;=Panel!$B$11),"Sí","No")))</f>
        <v/>
      </c>
      <c r="N133" s="18"/>
    </row>
    <row r="134" customFormat="false" ht="15" hidden="false" customHeight="false" outlineLevel="0" collapsed="false">
      <c r="A134" s="17" t="n">
        <f aca="false">INT((B134-Panel!$B$4)/7)+1</f>
        <v>19</v>
      </c>
      <c r="B134" s="5" t="n">
        <f aca="false">B133+1</f>
        <v>46456</v>
      </c>
      <c r="C134" s="17" t="str">
        <f aca="false">CHOOSE(WEEKDAY(B134,2),"Lun","Mar","Mié","Jue","Vie","Sáb","Dom")</f>
        <v>Mié</v>
      </c>
      <c r="D134" s="17" t="str">
        <f aca="false">INDEX(Calendario!$D$5:$D$33,A134)</f>
        <v>Alternativos</v>
      </c>
      <c r="E134" s="17" t="str">
        <f aca="false">INDEX(Rutina!$D$5:$D$11,WEEKDAY(B134,2))</f>
        <v>Q</v>
      </c>
      <c r="F134" s="7" t="n">
        <f aca="false">IF(B134&gt;Panel!$B$5,0,MAX(0,INDEX(Rutina!$B$5:$B$11,WEEKDAY(B134,2))*(1-MIN(1,SUMPRODUCT((Eventos!$A$5:$A$40&lt;=B134)*(Eventos!$B$5:$B$40&gt;=B134)*Eventos!$D$5:$D$40)))+SUMPRODUCT((Eventos!$A$5:$A$40&lt;=B134)*(Eventos!$B$5:$B$40&gt;=B134)*Eventos!$E$5:$E$40)))</f>
        <v>1</v>
      </c>
      <c r="G134" s="18"/>
      <c r="H134" s="7" t="str">
        <f aca="false">IF(G134="","",G134*Panel!$B$8)</f>
        <v/>
      </c>
      <c r="I134" s="18"/>
      <c r="J134" s="18"/>
      <c r="K134" s="18"/>
      <c r="L134" s="8"/>
      <c r="M134" s="17" t="str">
        <f aca="false">IF(L134="","",IF(OR(WEEKDAY(B134,2)=5,WEEKDAY(B134,2)=6),"—",IF(AND(L134&gt;=0.5,L134&lt;=Panel!$B$11),"Sí","No")))</f>
        <v/>
      </c>
      <c r="N134" s="18"/>
    </row>
    <row r="135" customFormat="false" ht="15" hidden="false" customHeight="false" outlineLevel="0" collapsed="false">
      <c r="A135" s="17" t="n">
        <f aca="false">INT((B135-Panel!$B$4)/7)+1</f>
        <v>19</v>
      </c>
      <c r="B135" s="5" t="n">
        <f aca="false">B134+1</f>
        <v>46457</v>
      </c>
      <c r="C135" s="17" t="str">
        <f aca="false">CHOOSE(WEEKDAY(B135,2),"Lun","Mar","Mié","Jue","Vie","Sáb","Dom")</f>
        <v>Jue</v>
      </c>
      <c r="D135" s="17" t="str">
        <f aca="false">INDEX(Calendario!$D$5:$D$33,A135)</f>
        <v>Alternativos</v>
      </c>
      <c r="E135" s="17" t="str">
        <f aca="false">INDEX(Rutina!$D$5:$D$11,WEEKDAY(B135,2))</f>
        <v>Q</v>
      </c>
      <c r="F135" s="7" t="n">
        <f aca="false">IF(B135&gt;Panel!$B$5,0,MAX(0,INDEX(Rutina!$B$5:$B$11,WEEKDAY(B135,2))*(1-MIN(1,SUMPRODUCT((Eventos!$A$5:$A$40&lt;=B135)*(Eventos!$B$5:$B$40&gt;=B135)*Eventos!$D$5:$D$40)))+SUMPRODUCT((Eventos!$A$5:$A$40&lt;=B135)*(Eventos!$B$5:$B$40&gt;=B135)*Eventos!$E$5:$E$40)))</f>
        <v>1</v>
      </c>
      <c r="G135" s="18"/>
      <c r="H135" s="7" t="str">
        <f aca="false">IF(G135="","",G135*Panel!$B$8)</f>
        <v/>
      </c>
      <c r="I135" s="18"/>
      <c r="J135" s="18"/>
      <c r="K135" s="18"/>
      <c r="L135" s="8"/>
      <c r="M135" s="17" t="str">
        <f aca="false">IF(L135="","",IF(OR(WEEKDAY(B135,2)=5,WEEKDAY(B135,2)=6),"—",IF(AND(L135&gt;=0.5,L135&lt;=Panel!$B$11),"Sí","No")))</f>
        <v/>
      </c>
      <c r="N135" s="18"/>
    </row>
    <row r="136" customFormat="false" ht="15" hidden="false" customHeight="false" outlineLevel="0" collapsed="false">
      <c r="A136" s="17" t="n">
        <f aca="false">INT((B136-Panel!$B$4)/7)+1</f>
        <v>19</v>
      </c>
      <c r="B136" s="5" t="n">
        <f aca="false">B135+1</f>
        <v>46458</v>
      </c>
      <c r="C136" s="17" t="str">
        <f aca="false">CHOOSE(WEEKDAY(B136,2),"Lun","Mar","Mié","Jue","Vie","Sáb","Dom")</f>
        <v>Vie</v>
      </c>
      <c r="D136" s="17" t="str">
        <f aca="false">INDEX(Calendario!$D$5:$D$33,A136)</f>
        <v>Alternativos</v>
      </c>
      <c r="E136" s="17" t="str">
        <f aca="false">INDEX(Rutina!$D$5:$D$11,WEEKDAY(B136,2))</f>
        <v>L + Q</v>
      </c>
      <c r="F136" s="7" t="n">
        <f aca="false">IF(B136&gt;Panel!$B$5,0,MAX(0,INDEX(Rutina!$B$5:$B$11,WEEKDAY(B136,2))*(1-MIN(1,SUMPRODUCT((Eventos!$A$5:$A$40&lt;=B136)*(Eventos!$B$5:$B$40&gt;=B136)*Eventos!$D$5:$D$40)))+SUMPRODUCT((Eventos!$A$5:$A$40&lt;=B136)*(Eventos!$B$5:$B$40&gt;=B136)*Eventos!$E$5:$E$40)))</f>
        <v>2</v>
      </c>
      <c r="G136" s="18"/>
      <c r="H136" s="7" t="str">
        <f aca="false">IF(G136="","",G136*Panel!$B$8)</f>
        <v/>
      </c>
      <c r="I136" s="18"/>
      <c r="J136" s="18"/>
      <c r="K136" s="18"/>
      <c r="L136" s="8"/>
      <c r="M136" s="17" t="str">
        <f aca="false">IF(L136="","",IF(OR(WEEKDAY(B136,2)=5,WEEKDAY(B136,2)=6),"—",IF(AND(L136&gt;=0.5,L136&lt;=Panel!$B$11),"Sí","No")))</f>
        <v/>
      </c>
      <c r="N136" s="18"/>
    </row>
    <row r="137" customFormat="false" ht="15" hidden="false" customHeight="false" outlineLevel="0" collapsed="false">
      <c r="A137" s="17" t="n">
        <f aca="false">INT((B137-Panel!$B$4)/7)+1</f>
        <v>19</v>
      </c>
      <c r="B137" s="5" t="n">
        <f aca="false">B136+1</f>
        <v>46459</v>
      </c>
      <c r="C137" s="17" t="str">
        <f aca="false">CHOOSE(WEEKDAY(B137,2),"Lun","Mar","Mié","Jue","Vie","Sáb","Dom")</f>
        <v>Sáb</v>
      </c>
      <c r="D137" s="17" t="str">
        <f aca="false">INDEX(Calendario!$D$5:$D$33,A137)</f>
        <v>Alternativos</v>
      </c>
      <c r="E137" s="17" t="str">
        <f aca="false">INDEX(Rutina!$D$5:$D$11,WEEKDAY(B137,2))</f>
        <v>L + R</v>
      </c>
      <c r="F137" s="7" t="n">
        <f aca="false">IF(B137&gt;Panel!$B$5,0,MAX(0,INDEX(Rutina!$B$5:$B$11,WEEKDAY(B137,2))*(1-MIN(1,SUMPRODUCT((Eventos!$A$5:$A$40&lt;=B137)*(Eventos!$B$5:$B$40&gt;=B137)*Eventos!$D$5:$D$40)))+SUMPRODUCT((Eventos!$A$5:$A$40&lt;=B137)*(Eventos!$B$5:$B$40&gt;=B137)*Eventos!$E$5:$E$40)))</f>
        <v>2</v>
      </c>
      <c r="G137" s="18"/>
      <c r="H137" s="7" t="str">
        <f aca="false">IF(G137="","",G137*Panel!$B$8)</f>
        <v/>
      </c>
      <c r="I137" s="18"/>
      <c r="J137" s="18"/>
      <c r="K137" s="18"/>
      <c r="L137" s="8"/>
      <c r="M137" s="17" t="str">
        <f aca="false">IF(L137="","",IF(OR(WEEKDAY(B137,2)=5,WEEKDAY(B137,2)=6),"—",IF(AND(L137&gt;=0.5,L137&lt;=Panel!$B$11),"Sí","No")))</f>
        <v/>
      </c>
      <c r="N137" s="18"/>
    </row>
    <row r="138" customFormat="false" ht="15" hidden="false" customHeight="false" outlineLevel="0" collapsed="false">
      <c r="A138" s="17" t="n">
        <f aca="false">INT((B138-Panel!$B$4)/7)+1</f>
        <v>19</v>
      </c>
      <c r="B138" s="5" t="n">
        <f aca="false">B137+1</f>
        <v>46460</v>
      </c>
      <c r="C138" s="17" t="str">
        <f aca="false">CHOOSE(WEEKDAY(B138,2),"Lun","Mar","Mié","Jue","Vie","Sáb","Dom")</f>
        <v>Dom</v>
      </c>
      <c r="D138" s="17" t="str">
        <f aca="false">INDEX(Calendario!$D$5:$D$33,A138)</f>
        <v>Alternativos</v>
      </c>
      <c r="E138" s="17" t="str">
        <f aca="false">INDEX(Rutina!$D$5:$D$11,WEEKDAY(B138,2))</f>
        <v>V + F</v>
      </c>
      <c r="F138" s="7" t="n">
        <f aca="false">IF(B138&gt;Panel!$B$5,0,MAX(0,INDEX(Rutina!$B$5:$B$11,WEEKDAY(B138,2))*(1-MIN(1,SUMPRODUCT((Eventos!$A$5:$A$40&lt;=B138)*(Eventos!$B$5:$B$40&gt;=B138)*Eventos!$D$5:$D$40)))+SUMPRODUCT((Eventos!$A$5:$A$40&lt;=B138)*(Eventos!$B$5:$B$40&gt;=B138)*Eventos!$E$5:$E$40)))</f>
        <v>2</v>
      </c>
      <c r="G138" s="18"/>
      <c r="H138" s="7" t="str">
        <f aca="false">IF(G138="","",G138*Panel!$B$8)</f>
        <v/>
      </c>
      <c r="I138" s="18"/>
      <c r="J138" s="18"/>
      <c r="K138" s="18"/>
      <c r="L138" s="8"/>
      <c r="M138" s="17" t="str">
        <f aca="false">IF(L138="","",IF(OR(WEEKDAY(B138,2)=5,WEEKDAY(B138,2)=6),"—",IF(AND(L138&gt;=0.5,L138&lt;=Panel!$B$11),"Sí","No")))</f>
        <v/>
      </c>
      <c r="N138" s="18"/>
    </row>
    <row r="139" customFormat="false" ht="15" hidden="false" customHeight="false" outlineLevel="0" collapsed="false">
      <c r="A139" s="17" t="n">
        <f aca="false">INT((B139-Panel!$B$4)/7)+1</f>
        <v>20</v>
      </c>
      <c r="B139" s="5" t="n">
        <f aca="false">B138+1</f>
        <v>46461</v>
      </c>
      <c r="C139" s="17" t="str">
        <f aca="false">CHOOSE(WEEKDAY(B139,2),"Lun","Mar","Mié","Jue","Vie","Sáb","Dom")</f>
        <v>Lun</v>
      </c>
      <c r="D139" s="17" t="str">
        <f aca="false">INDEX(Calendario!$D$5:$D$33,A139)</f>
        <v>Portafolio</v>
      </c>
      <c r="E139" s="17" t="str">
        <f aca="false">INDEX(Rutina!$D$5:$D$11,WEEKDAY(B139,2))</f>
        <v>R</v>
      </c>
      <c r="F139" s="7" t="n">
        <f aca="false">IF(B139&gt;Panel!$B$5,0,MAX(0,INDEX(Rutina!$B$5:$B$11,WEEKDAY(B139,2))*(1-MIN(1,SUMPRODUCT((Eventos!$A$5:$A$40&lt;=B139)*(Eventos!$B$5:$B$40&gt;=B139)*Eventos!$D$5:$D$40)))+SUMPRODUCT((Eventos!$A$5:$A$40&lt;=B139)*(Eventos!$B$5:$B$40&gt;=B139)*Eventos!$E$5:$E$40)))</f>
        <v>1</v>
      </c>
      <c r="G139" s="18"/>
      <c r="H139" s="7" t="str">
        <f aca="false">IF(G139="","",G139*Panel!$B$8)</f>
        <v/>
      </c>
      <c r="I139" s="18"/>
      <c r="J139" s="18"/>
      <c r="K139" s="18"/>
      <c r="L139" s="8"/>
      <c r="M139" s="17" t="str">
        <f aca="false">IF(L139="","",IF(OR(WEEKDAY(B139,2)=5,WEEKDAY(B139,2)=6),"—",IF(AND(L139&gt;=0.5,L139&lt;=Panel!$B$11),"Sí","No")))</f>
        <v/>
      </c>
      <c r="N139" s="18"/>
    </row>
    <row r="140" customFormat="false" ht="15" hidden="false" customHeight="false" outlineLevel="0" collapsed="false">
      <c r="A140" s="17" t="n">
        <f aca="false">INT((B140-Panel!$B$4)/7)+1</f>
        <v>20</v>
      </c>
      <c r="B140" s="5" t="n">
        <f aca="false">B139+1</f>
        <v>46462</v>
      </c>
      <c r="C140" s="17" t="str">
        <f aca="false">CHOOSE(WEEKDAY(B140,2),"Lun","Mar","Mié","Jue","Vie","Sáb","Dom")</f>
        <v>Mar</v>
      </c>
      <c r="D140" s="17" t="str">
        <f aca="false">INDEX(Calendario!$D$5:$D$33,A140)</f>
        <v>Portafolio</v>
      </c>
      <c r="E140" s="17" t="str">
        <f aca="false">INDEX(Rutina!$D$5:$D$11,WEEKDAY(B140,2))</f>
        <v>R</v>
      </c>
      <c r="F140" s="7" t="n">
        <f aca="false">IF(B140&gt;Panel!$B$5,0,MAX(0,INDEX(Rutina!$B$5:$B$11,WEEKDAY(B140,2))*(1-MIN(1,SUMPRODUCT((Eventos!$A$5:$A$40&lt;=B140)*(Eventos!$B$5:$B$40&gt;=B140)*Eventos!$D$5:$D$40)))+SUMPRODUCT((Eventos!$A$5:$A$40&lt;=B140)*(Eventos!$B$5:$B$40&gt;=B140)*Eventos!$E$5:$E$40)))</f>
        <v>1</v>
      </c>
      <c r="G140" s="18"/>
      <c r="H140" s="7" t="str">
        <f aca="false">IF(G140="","",G140*Panel!$B$8)</f>
        <v/>
      </c>
      <c r="I140" s="18"/>
      <c r="J140" s="18"/>
      <c r="K140" s="18"/>
      <c r="L140" s="8"/>
      <c r="M140" s="17" t="str">
        <f aca="false">IF(L140="","",IF(OR(WEEKDAY(B140,2)=5,WEEKDAY(B140,2)=6),"—",IF(AND(L140&gt;=0.5,L140&lt;=Panel!$B$11),"Sí","No")))</f>
        <v/>
      </c>
      <c r="N140" s="18"/>
    </row>
    <row r="141" customFormat="false" ht="15" hidden="false" customHeight="false" outlineLevel="0" collapsed="false">
      <c r="A141" s="17" t="n">
        <f aca="false">INT((B141-Panel!$B$4)/7)+1</f>
        <v>20</v>
      </c>
      <c r="B141" s="5" t="n">
        <f aca="false">B140+1</f>
        <v>46463</v>
      </c>
      <c r="C141" s="17" t="str">
        <f aca="false">CHOOSE(WEEKDAY(B141,2),"Lun","Mar","Mié","Jue","Vie","Sáb","Dom")</f>
        <v>Mié</v>
      </c>
      <c r="D141" s="17" t="str">
        <f aca="false">INDEX(Calendario!$D$5:$D$33,A141)</f>
        <v>Portafolio</v>
      </c>
      <c r="E141" s="17" t="str">
        <f aca="false">INDEX(Rutina!$D$5:$D$11,WEEKDAY(B141,2))</f>
        <v>Q</v>
      </c>
      <c r="F141" s="7" t="n">
        <f aca="false">IF(B141&gt;Panel!$B$5,0,MAX(0,INDEX(Rutina!$B$5:$B$11,WEEKDAY(B141,2))*(1-MIN(1,SUMPRODUCT((Eventos!$A$5:$A$40&lt;=B141)*(Eventos!$B$5:$B$40&gt;=B141)*Eventos!$D$5:$D$40)))+SUMPRODUCT((Eventos!$A$5:$A$40&lt;=B141)*(Eventos!$B$5:$B$40&gt;=B141)*Eventos!$E$5:$E$40)))</f>
        <v>1</v>
      </c>
      <c r="G141" s="18"/>
      <c r="H141" s="7" t="str">
        <f aca="false">IF(G141="","",G141*Panel!$B$8)</f>
        <v/>
      </c>
      <c r="I141" s="18"/>
      <c r="J141" s="18"/>
      <c r="K141" s="18"/>
      <c r="L141" s="8"/>
      <c r="M141" s="17" t="str">
        <f aca="false">IF(L141="","",IF(OR(WEEKDAY(B141,2)=5,WEEKDAY(B141,2)=6),"—",IF(AND(L141&gt;=0.5,L141&lt;=Panel!$B$11),"Sí","No")))</f>
        <v/>
      </c>
      <c r="N141" s="18"/>
    </row>
    <row r="142" customFormat="false" ht="15" hidden="false" customHeight="false" outlineLevel="0" collapsed="false">
      <c r="A142" s="17" t="n">
        <f aca="false">INT((B142-Panel!$B$4)/7)+1</f>
        <v>20</v>
      </c>
      <c r="B142" s="5" t="n">
        <f aca="false">B141+1</f>
        <v>46464</v>
      </c>
      <c r="C142" s="17" t="str">
        <f aca="false">CHOOSE(WEEKDAY(B142,2),"Lun","Mar","Mié","Jue","Vie","Sáb","Dom")</f>
        <v>Jue</v>
      </c>
      <c r="D142" s="17" t="str">
        <f aca="false">INDEX(Calendario!$D$5:$D$33,A142)</f>
        <v>Portafolio</v>
      </c>
      <c r="E142" s="17" t="str">
        <f aca="false">INDEX(Rutina!$D$5:$D$11,WEEKDAY(B142,2))</f>
        <v>Q</v>
      </c>
      <c r="F142" s="7" t="n">
        <f aca="false">IF(B142&gt;Panel!$B$5,0,MAX(0,INDEX(Rutina!$B$5:$B$11,WEEKDAY(B142,2))*(1-MIN(1,SUMPRODUCT((Eventos!$A$5:$A$40&lt;=B142)*(Eventos!$B$5:$B$40&gt;=B142)*Eventos!$D$5:$D$40)))+SUMPRODUCT((Eventos!$A$5:$A$40&lt;=B142)*(Eventos!$B$5:$B$40&gt;=B142)*Eventos!$E$5:$E$40)))</f>
        <v>1</v>
      </c>
      <c r="G142" s="18"/>
      <c r="H142" s="7" t="str">
        <f aca="false">IF(G142="","",G142*Panel!$B$8)</f>
        <v/>
      </c>
      <c r="I142" s="18"/>
      <c r="J142" s="18"/>
      <c r="K142" s="18"/>
      <c r="L142" s="8"/>
      <c r="M142" s="17" t="str">
        <f aca="false">IF(L142="","",IF(OR(WEEKDAY(B142,2)=5,WEEKDAY(B142,2)=6),"—",IF(AND(L142&gt;=0.5,L142&lt;=Panel!$B$11),"Sí","No")))</f>
        <v/>
      </c>
      <c r="N142" s="18"/>
    </row>
    <row r="143" customFormat="false" ht="15" hidden="false" customHeight="false" outlineLevel="0" collapsed="false">
      <c r="A143" s="17" t="n">
        <f aca="false">INT((B143-Panel!$B$4)/7)+1</f>
        <v>20</v>
      </c>
      <c r="B143" s="5" t="n">
        <f aca="false">B142+1</f>
        <v>46465</v>
      </c>
      <c r="C143" s="17" t="str">
        <f aca="false">CHOOSE(WEEKDAY(B143,2),"Lun","Mar","Mié","Jue","Vie","Sáb","Dom")</f>
        <v>Vie</v>
      </c>
      <c r="D143" s="17" t="str">
        <f aca="false">INDEX(Calendario!$D$5:$D$33,A143)</f>
        <v>Portafolio</v>
      </c>
      <c r="E143" s="17" t="str">
        <f aca="false">INDEX(Rutina!$D$5:$D$11,WEEKDAY(B143,2))</f>
        <v>L + Q</v>
      </c>
      <c r="F143" s="7" t="n">
        <f aca="false">IF(B143&gt;Panel!$B$5,0,MAX(0,INDEX(Rutina!$B$5:$B$11,WEEKDAY(B143,2))*(1-MIN(1,SUMPRODUCT((Eventos!$A$5:$A$40&lt;=B143)*(Eventos!$B$5:$B$40&gt;=B143)*Eventos!$D$5:$D$40)))+SUMPRODUCT((Eventos!$A$5:$A$40&lt;=B143)*(Eventos!$B$5:$B$40&gt;=B143)*Eventos!$E$5:$E$40)))</f>
        <v>2</v>
      </c>
      <c r="G143" s="18"/>
      <c r="H143" s="7" t="str">
        <f aca="false">IF(G143="","",G143*Panel!$B$8)</f>
        <v/>
      </c>
      <c r="I143" s="18"/>
      <c r="J143" s="18"/>
      <c r="K143" s="18"/>
      <c r="L143" s="8"/>
      <c r="M143" s="17" t="str">
        <f aca="false">IF(L143="","",IF(OR(WEEKDAY(B143,2)=5,WEEKDAY(B143,2)=6),"—",IF(AND(L143&gt;=0.5,L143&lt;=Panel!$B$11),"Sí","No")))</f>
        <v/>
      </c>
      <c r="N143" s="18"/>
    </row>
    <row r="144" customFormat="false" ht="15" hidden="false" customHeight="false" outlineLevel="0" collapsed="false">
      <c r="A144" s="17" t="n">
        <f aca="false">INT((B144-Panel!$B$4)/7)+1</f>
        <v>20</v>
      </c>
      <c r="B144" s="5" t="n">
        <f aca="false">B143+1</f>
        <v>46466</v>
      </c>
      <c r="C144" s="17" t="str">
        <f aca="false">CHOOSE(WEEKDAY(B144,2),"Lun","Mar","Mié","Jue","Vie","Sáb","Dom")</f>
        <v>Sáb</v>
      </c>
      <c r="D144" s="17" t="str">
        <f aca="false">INDEX(Calendario!$D$5:$D$33,A144)</f>
        <v>Portafolio</v>
      </c>
      <c r="E144" s="17" t="str">
        <f aca="false">INDEX(Rutina!$D$5:$D$11,WEEKDAY(B144,2))</f>
        <v>L + R</v>
      </c>
      <c r="F144" s="7" t="n">
        <f aca="false">IF(B144&gt;Panel!$B$5,0,MAX(0,INDEX(Rutina!$B$5:$B$11,WEEKDAY(B144,2))*(1-MIN(1,SUMPRODUCT((Eventos!$A$5:$A$40&lt;=B144)*(Eventos!$B$5:$B$40&gt;=B144)*Eventos!$D$5:$D$40)))+SUMPRODUCT((Eventos!$A$5:$A$40&lt;=B144)*(Eventos!$B$5:$B$40&gt;=B144)*Eventos!$E$5:$E$40)))</f>
        <v>2</v>
      </c>
      <c r="G144" s="18"/>
      <c r="H144" s="7" t="str">
        <f aca="false">IF(G144="","",G144*Panel!$B$8)</f>
        <v/>
      </c>
      <c r="I144" s="18"/>
      <c r="J144" s="18"/>
      <c r="K144" s="18"/>
      <c r="L144" s="8"/>
      <c r="M144" s="17" t="str">
        <f aca="false">IF(L144="","",IF(OR(WEEKDAY(B144,2)=5,WEEKDAY(B144,2)=6),"—",IF(AND(L144&gt;=0.5,L144&lt;=Panel!$B$11),"Sí","No")))</f>
        <v/>
      </c>
      <c r="N144" s="18"/>
    </row>
    <row r="145" customFormat="false" ht="15" hidden="false" customHeight="false" outlineLevel="0" collapsed="false">
      <c r="A145" s="17" t="n">
        <f aca="false">INT((B145-Panel!$B$4)/7)+1</f>
        <v>20</v>
      </c>
      <c r="B145" s="5" t="n">
        <f aca="false">B144+1</f>
        <v>46467</v>
      </c>
      <c r="C145" s="17" t="str">
        <f aca="false">CHOOSE(WEEKDAY(B145,2),"Lun","Mar","Mié","Jue","Vie","Sáb","Dom")</f>
        <v>Dom</v>
      </c>
      <c r="D145" s="17" t="str">
        <f aca="false">INDEX(Calendario!$D$5:$D$33,A145)</f>
        <v>Portafolio</v>
      </c>
      <c r="E145" s="17" t="str">
        <f aca="false">INDEX(Rutina!$D$5:$D$11,WEEKDAY(B145,2))</f>
        <v>V + F</v>
      </c>
      <c r="F145" s="7" t="n">
        <f aca="false">IF(B145&gt;Panel!$B$5,0,MAX(0,INDEX(Rutina!$B$5:$B$11,WEEKDAY(B145,2))*(1-MIN(1,SUMPRODUCT((Eventos!$A$5:$A$40&lt;=B145)*(Eventos!$B$5:$B$40&gt;=B145)*Eventos!$D$5:$D$40)))+SUMPRODUCT((Eventos!$A$5:$A$40&lt;=B145)*(Eventos!$B$5:$B$40&gt;=B145)*Eventos!$E$5:$E$40)))</f>
        <v>2</v>
      </c>
      <c r="G145" s="18"/>
      <c r="H145" s="7" t="str">
        <f aca="false">IF(G145="","",G145*Panel!$B$8)</f>
        <v/>
      </c>
      <c r="I145" s="18"/>
      <c r="J145" s="18"/>
      <c r="K145" s="18"/>
      <c r="L145" s="8"/>
      <c r="M145" s="17" t="str">
        <f aca="false">IF(L145="","",IF(OR(WEEKDAY(B145,2)=5,WEEKDAY(B145,2)=6),"—",IF(AND(L145&gt;=0.5,L145&lt;=Panel!$B$11),"Sí","No")))</f>
        <v/>
      </c>
      <c r="N145" s="18"/>
    </row>
    <row r="146" customFormat="false" ht="15" hidden="false" customHeight="false" outlineLevel="0" collapsed="false">
      <c r="A146" s="17" t="n">
        <f aca="false">INT((B146-Panel!$B$4)/7)+1</f>
        <v>21</v>
      </c>
      <c r="B146" s="5" t="n">
        <f aca="false">B145+1</f>
        <v>46468</v>
      </c>
      <c r="C146" s="17" t="str">
        <f aca="false">CHOOSE(WEEKDAY(B146,2),"Lun","Mar","Mié","Jue","Vie","Sáb","Dom")</f>
        <v>Lun</v>
      </c>
      <c r="D146" s="17" t="str">
        <f aca="false">INDEX(Calendario!$D$5:$D$33,A146)</f>
        <v>Portafolio</v>
      </c>
      <c r="E146" s="17" t="str">
        <f aca="false">INDEX(Rutina!$D$5:$D$11,WEEKDAY(B146,2))</f>
        <v>R</v>
      </c>
      <c r="F146" s="7" t="n">
        <f aca="false">IF(B146&gt;Panel!$B$5,0,MAX(0,INDEX(Rutina!$B$5:$B$11,WEEKDAY(B146,2))*(1-MIN(1,SUMPRODUCT((Eventos!$A$5:$A$40&lt;=B146)*(Eventos!$B$5:$B$40&gt;=B146)*Eventos!$D$5:$D$40)))+SUMPRODUCT((Eventos!$A$5:$A$40&lt;=B146)*(Eventos!$B$5:$B$40&gt;=B146)*Eventos!$E$5:$E$40)))</f>
        <v>1</v>
      </c>
      <c r="G146" s="18"/>
      <c r="H146" s="7" t="str">
        <f aca="false">IF(G146="","",G146*Panel!$B$8)</f>
        <v/>
      </c>
      <c r="I146" s="18"/>
      <c r="J146" s="18"/>
      <c r="K146" s="18"/>
      <c r="L146" s="8"/>
      <c r="M146" s="17" t="str">
        <f aca="false">IF(L146="","",IF(OR(WEEKDAY(B146,2)=5,WEEKDAY(B146,2)=6),"—",IF(AND(L146&gt;=0.5,L146&lt;=Panel!$B$11),"Sí","No")))</f>
        <v/>
      </c>
      <c r="N146" s="18"/>
    </row>
    <row r="147" customFormat="false" ht="15" hidden="false" customHeight="false" outlineLevel="0" collapsed="false">
      <c r="A147" s="17" t="n">
        <f aca="false">INT((B147-Panel!$B$4)/7)+1</f>
        <v>21</v>
      </c>
      <c r="B147" s="5" t="n">
        <f aca="false">B146+1</f>
        <v>46469</v>
      </c>
      <c r="C147" s="17" t="str">
        <f aca="false">CHOOSE(WEEKDAY(B147,2),"Lun","Mar","Mié","Jue","Vie","Sáb","Dom")</f>
        <v>Mar</v>
      </c>
      <c r="D147" s="17" t="str">
        <f aca="false">INDEX(Calendario!$D$5:$D$33,A147)</f>
        <v>Portafolio</v>
      </c>
      <c r="E147" s="17" t="str">
        <f aca="false">INDEX(Rutina!$D$5:$D$11,WEEKDAY(B147,2))</f>
        <v>R</v>
      </c>
      <c r="F147" s="7" t="n">
        <f aca="false">IF(B147&gt;Panel!$B$5,0,MAX(0,INDEX(Rutina!$B$5:$B$11,WEEKDAY(B147,2))*(1-MIN(1,SUMPRODUCT((Eventos!$A$5:$A$40&lt;=B147)*(Eventos!$B$5:$B$40&gt;=B147)*Eventos!$D$5:$D$40)))+SUMPRODUCT((Eventos!$A$5:$A$40&lt;=B147)*(Eventos!$B$5:$B$40&gt;=B147)*Eventos!$E$5:$E$40)))</f>
        <v>1</v>
      </c>
      <c r="G147" s="18"/>
      <c r="H147" s="7" t="str">
        <f aca="false">IF(G147="","",G147*Panel!$B$8)</f>
        <v/>
      </c>
      <c r="I147" s="18"/>
      <c r="J147" s="18"/>
      <c r="K147" s="18"/>
      <c r="L147" s="8"/>
      <c r="M147" s="17" t="str">
        <f aca="false">IF(L147="","",IF(OR(WEEKDAY(B147,2)=5,WEEKDAY(B147,2)=6),"—",IF(AND(L147&gt;=0.5,L147&lt;=Panel!$B$11),"Sí","No")))</f>
        <v/>
      </c>
      <c r="N147" s="18"/>
    </row>
    <row r="148" customFormat="false" ht="15" hidden="false" customHeight="false" outlineLevel="0" collapsed="false">
      <c r="A148" s="17" t="n">
        <f aca="false">INT((B148-Panel!$B$4)/7)+1</f>
        <v>21</v>
      </c>
      <c r="B148" s="5" t="n">
        <f aca="false">B147+1</f>
        <v>46470</v>
      </c>
      <c r="C148" s="17" t="str">
        <f aca="false">CHOOSE(WEEKDAY(B148,2),"Lun","Mar","Mié","Jue","Vie","Sáb","Dom")</f>
        <v>Mié</v>
      </c>
      <c r="D148" s="17" t="str">
        <f aca="false">INDEX(Calendario!$D$5:$D$33,A148)</f>
        <v>Portafolio</v>
      </c>
      <c r="E148" s="17" t="str">
        <f aca="false">INDEX(Rutina!$D$5:$D$11,WEEKDAY(B148,2))</f>
        <v>Q</v>
      </c>
      <c r="F148" s="7" t="n">
        <f aca="false">IF(B148&gt;Panel!$B$5,0,MAX(0,INDEX(Rutina!$B$5:$B$11,WEEKDAY(B148,2))*(1-MIN(1,SUMPRODUCT((Eventos!$A$5:$A$40&lt;=B148)*(Eventos!$B$5:$B$40&gt;=B148)*Eventos!$D$5:$D$40)))+SUMPRODUCT((Eventos!$A$5:$A$40&lt;=B148)*(Eventos!$B$5:$B$40&gt;=B148)*Eventos!$E$5:$E$40)))</f>
        <v>1</v>
      </c>
      <c r="G148" s="18"/>
      <c r="H148" s="7" t="str">
        <f aca="false">IF(G148="","",G148*Panel!$B$8)</f>
        <v/>
      </c>
      <c r="I148" s="18"/>
      <c r="J148" s="18"/>
      <c r="K148" s="18"/>
      <c r="L148" s="8"/>
      <c r="M148" s="17" t="str">
        <f aca="false">IF(L148="","",IF(OR(WEEKDAY(B148,2)=5,WEEKDAY(B148,2)=6),"—",IF(AND(L148&gt;=0.5,L148&lt;=Panel!$B$11),"Sí","No")))</f>
        <v/>
      </c>
      <c r="N148" s="18"/>
    </row>
    <row r="149" customFormat="false" ht="15" hidden="false" customHeight="false" outlineLevel="0" collapsed="false">
      <c r="A149" s="17" t="n">
        <f aca="false">INT((B149-Panel!$B$4)/7)+1</f>
        <v>21</v>
      </c>
      <c r="B149" s="5" t="n">
        <f aca="false">B148+1</f>
        <v>46471</v>
      </c>
      <c r="C149" s="17" t="str">
        <f aca="false">CHOOSE(WEEKDAY(B149,2),"Lun","Mar","Mié","Jue","Vie","Sáb","Dom")</f>
        <v>Jue</v>
      </c>
      <c r="D149" s="17" t="str">
        <f aca="false">INDEX(Calendario!$D$5:$D$33,A149)</f>
        <v>Portafolio</v>
      </c>
      <c r="E149" s="17" t="str">
        <f aca="false">INDEX(Rutina!$D$5:$D$11,WEEKDAY(B149,2))</f>
        <v>Q</v>
      </c>
      <c r="F149" s="7" t="n">
        <f aca="false">IF(B149&gt;Panel!$B$5,0,MAX(0,INDEX(Rutina!$B$5:$B$11,WEEKDAY(B149,2))*(1-MIN(1,SUMPRODUCT((Eventos!$A$5:$A$40&lt;=B149)*(Eventos!$B$5:$B$40&gt;=B149)*Eventos!$D$5:$D$40)))+SUMPRODUCT((Eventos!$A$5:$A$40&lt;=B149)*(Eventos!$B$5:$B$40&gt;=B149)*Eventos!$E$5:$E$40)))</f>
        <v>1</v>
      </c>
      <c r="G149" s="18"/>
      <c r="H149" s="7" t="str">
        <f aca="false">IF(G149="","",G149*Panel!$B$8)</f>
        <v/>
      </c>
      <c r="I149" s="18"/>
      <c r="J149" s="18"/>
      <c r="K149" s="18"/>
      <c r="L149" s="8"/>
      <c r="M149" s="17" t="str">
        <f aca="false">IF(L149="","",IF(OR(WEEKDAY(B149,2)=5,WEEKDAY(B149,2)=6),"—",IF(AND(L149&gt;=0.5,L149&lt;=Panel!$B$11),"Sí","No")))</f>
        <v/>
      </c>
      <c r="N149" s="18"/>
    </row>
    <row r="150" customFormat="false" ht="15" hidden="false" customHeight="false" outlineLevel="0" collapsed="false">
      <c r="A150" s="17" t="n">
        <f aca="false">INT((B150-Panel!$B$4)/7)+1</f>
        <v>21</v>
      </c>
      <c r="B150" s="5" t="n">
        <f aca="false">B149+1</f>
        <v>46472</v>
      </c>
      <c r="C150" s="17" t="str">
        <f aca="false">CHOOSE(WEEKDAY(B150,2),"Lun","Mar","Mié","Jue","Vie","Sáb","Dom")</f>
        <v>Vie</v>
      </c>
      <c r="D150" s="17" t="str">
        <f aca="false">INDEX(Calendario!$D$5:$D$33,A150)</f>
        <v>Portafolio</v>
      </c>
      <c r="E150" s="17" t="str">
        <f aca="false">INDEX(Rutina!$D$5:$D$11,WEEKDAY(B150,2))</f>
        <v>L + Q</v>
      </c>
      <c r="F150" s="7" t="n">
        <f aca="false">IF(B150&gt;Panel!$B$5,0,MAX(0,INDEX(Rutina!$B$5:$B$11,WEEKDAY(B150,2))*(1-MIN(1,SUMPRODUCT((Eventos!$A$5:$A$40&lt;=B150)*(Eventos!$B$5:$B$40&gt;=B150)*Eventos!$D$5:$D$40)))+SUMPRODUCT((Eventos!$A$5:$A$40&lt;=B150)*(Eventos!$B$5:$B$40&gt;=B150)*Eventos!$E$5:$E$40)))</f>
        <v>2</v>
      </c>
      <c r="G150" s="18"/>
      <c r="H150" s="7" t="str">
        <f aca="false">IF(G150="","",G150*Panel!$B$8)</f>
        <v/>
      </c>
      <c r="I150" s="18"/>
      <c r="J150" s="18"/>
      <c r="K150" s="18"/>
      <c r="L150" s="8"/>
      <c r="M150" s="17" t="str">
        <f aca="false">IF(L150="","",IF(OR(WEEKDAY(B150,2)=5,WEEKDAY(B150,2)=6),"—",IF(AND(L150&gt;=0.5,L150&lt;=Panel!$B$11),"Sí","No")))</f>
        <v/>
      </c>
      <c r="N150" s="18"/>
    </row>
    <row r="151" customFormat="false" ht="15" hidden="false" customHeight="false" outlineLevel="0" collapsed="false">
      <c r="A151" s="17" t="n">
        <f aca="false">INT((B151-Panel!$B$4)/7)+1</f>
        <v>21</v>
      </c>
      <c r="B151" s="5" t="n">
        <f aca="false">B150+1</f>
        <v>46473</v>
      </c>
      <c r="C151" s="17" t="str">
        <f aca="false">CHOOSE(WEEKDAY(B151,2),"Lun","Mar","Mié","Jue","Vie","Sáb","Dom")</f>
        <v>Sáb</v>
      </c>
      <c r="D151" s="17" t="str">
        <f aca="false">INDEX(Calendario!$D$5:$D$33,A151)</f>
        <v>Portafolio</v>
      </c>
      <c r="E151" s="17" t="str">
        <f aca="false">INDEX(Rutina!$D$5:$D$11,WEEKDAY(B151,2))</f>
        <v>L + R</v>
      </c>
      <c r="F151" s="7" t="n">
        <f aca="false">IF(B151&gt;Panel!$B$5,0,MAX(0,INDEX(Rutina!$B$5:$B$11,WEEKDAY(B151,2))*(1-MIN(1,SUMPRODUCT((Eventos!$A$5:$A$40&lt;=B151)*(Eventos!$B$5:$B$40&gt;=B151)*Eventos!$D$5:$D$40)))+SUMPRODUCT((Eventos!$A$5:$A$40&lt;=B151)*(Eventos!$B$5:$B$40&gt;=B151)*Eventos!$E$5:$E$40)))</f>
        <v>2</v>
      </c>
      <c r="G151" s="18"/>
      <c r="H151" s="7" t="str">
        <f aca="false">IF(G151="","",G151*Panel!$B$8)</f>
        <v/>
      </c>
      <c r="I151" s="18"/>
      <c r="J151" s="18"/>
      <c r="K151" s="18"/>
      <c r="L151" s="8"/>
      <c r="M151" s="17" t="str">
        <f aca="false">IF(L151="","",IF(OR(WEEKDAY(B151,2)=5,WEEKDAY(B151,2)=6),"—",IF(AND(L151&gt;=0.5,L151&lt;=Panel!$B$11),"Sí","No")))</f>
        <v/>
      </c>
      <c r="N151" s="18"/>
    </row>
    <row r="152" customFormat="false" ht="15" hidden="false" customHeight="false" outlineLevel="0" collapsed="false">
      <c r="A152" s="17" t="n">
        <f aca="false">INT((B152-Panel!$B$4)/7)+1</f>
        <v>21</v>
      </c>
      <c r="B152" s="5" t="n">
        <f aca="false">B151+1</f>
        <v>46474</v>
      </c>
      <c r="C152" s="17" t="str">
        <f aca="false">CHOOSE(WEEKDAY(B152,2),"Lun","Mar","Mié","Jue","Vie","Sáb","Dom")</f>
        <v>Dom</v>
      </c>
      <c r="D152" s="17" t="str">
        <f aca="false">INDEX(Calendario!$D$5:$D$33,A152)</f>
        <v>Portafolio</v>
      </c>
      <c r="E152" s="17" t="str">
        <f aca="false">INDEX(Rutina!$D$5:$D$11,WEEKDAY(B152,2))</f>
        <v>V + F</v>
      </c>
      <c r="F152" s="7" t="n">
        <f aca="false">IF(B152&gt;Panel!$B$5,0,MAX(0,INDEX(Rutina!$B$5:$B$11,WEEKDAY(B152,2))*(1-MIN(1,SUMPRODUCT((Eventos!$A$5:$A$40&lt;=B152)*(Eventos!$B$5:$B$40&gt;=B152)*Eventos!$D$5:$D$40)))+SUMPRODUCT((Eventos!$A$5:$A$40&lt;=B152)*(Eventos!$B$5:$B$40&gt;=B152)*Eventos!$E$5:$E$40)))</f>
        <v>2</v>
      </c>
      <c r="G152" s="18"/>
      <c r="H152" s="7" t="str">
        <f aca="false">IF(G152="","",G152*Panel!$B$8)</f>
        <v/>
      </c>
      <c r="I152" s="18"/>
      <c r="J152" s="18"/>
      <c r="K152" s="18"/>
      <c r="L152" s="8"/>
      <c r="M152" s="17" t="str">
        <f aca="false">IF(L152="","",IF(OR(WEEKDAY(B152,2)=5,WEEKDAY(B152,2)=6),"—",IF(AND(L152&gt;=0.5,L152&lt;=Panel!$B$11),"Sí","No")))</f>
        <v/>
      </c>
      <c r="N152" s="18"/>
    </row>
    <row r="153" customFormat="false" ht="15" hidden="false" customHeight="false" outlineLevel="0" collapsed="false">
      <c r="A153" s="17" t="n">
        <f aca="false">INT((B153-Panel!$B$4)/7)+1</f>
        <v>22</v>
      </c>
      <c r="B153" s="5" t="n">
        <f aca="false">B152+1</f>
        <v>46475</v>
      </c>
      <c r="C153" s="17" t="str">
        <f aca="false">CHOOSE(WEEKDAY(B153,2),"Lun","Mar","Mié","Jue","Vie","Sáb","Dom")</f>
        <v>Lun</v>
      </c>
      <c r="D153" s="17" t="str">
        <f aca="false">INDEX(Calendario!$D$5:$D$33,A153)</f>
        <v>Portafolio</v>
      </c>
      <c r="E153" s="17" t="str">
        <f aca="false">INDEX(Rutina!$D$5:$D$11,WEEKDAY(B153,2))</f>
        <v>R</v>
      </c>
      <c r="F153" s="7" t="n">
        <f aca="false">IF(B153&gt;Panel!$B$5,0,MAX(0,INDEX(Rutina!$B$5:$B$11,WEEKDAY(B153,2))*(1-MIN(1,SUMPRODUCT((Eventos!$A$5:$A$40&lt;=B153)*(Eventos!$B$5:$B$40&gt;=B153)*Eventos!$D$5:$D$40)))+SUMPRODUCT((Eventos!$A$5:$A$40&lt;=B153)*(Eventos!$B$5:$B$40&gt;=B153)*Eventos!$E$5:$E$40)))</f>
        <v>1</v>
      </c>
      <c r="G153" s="18"/>
      <c r="H153" s="7" t="str">
        <f aca="false">IF(G153="","",G153*Panel!$B$8)</f>
        <v/>
      </c>
      <c r="I153" s="18"/>
      <c r="J153" s="18"/>
      <c r="K153" s="18"/>
      <c r="L153" s="8"/>
      <c r="M153" s="17" t="str">
        <f aca="false">IF(L153="","",IF(OR(WEEKDAY(B153,2)=5,WEEKDAY(B153,2)=6),"—",IF(AND(L153&gt;=0.5,L153&lt;=Panel!$B$11),"Sí","No")))</f>
        <v/>
      </c>
      <c r="N153" s="18"/>
    </row>
    <row r="154" customFormat="false" ht="15" hidden="false" customHeight="false" outlineLevel="0" collapsed="false">
      <c r="A154" s="17" t="n">
        <f aca="false">INT((B154-Panel!$B$4)/7)+1</f>
        <v>22</v>
      </c>
      <c r="B154" s="5" t="n">
        <f aca="false">B153+1</f>
        <v>46476</v>
      </c>
      <c r="C154" s="17" t="str">
        <f aca="false">CHOOSE(WEEKDAY(B154,2),"Lun","Mar","Mié","Jue","Vie","Sáb","Dom")</f>
        <v>Mar</v>
      </c>
      <c r="D154" s="17" t="str">
        <f aca="false">INDEX(Calendario!$D$5:$D$33,A154)</f>
        <v>Portafolio</v>
      </c>
      <c r="E154" s="17" t="str">
        <f aca="false">INDEX(Rutina!$D$5:$D$11,WEEKDAY(B154,2))</f>
        <v>R</v>
      </c>
      <c r="F154" s="7" t="n">
        <f aca="false">IF(B154&gt;Panel!$B$5,0,MAX(0,INDEX(Rutina!$B$5:$B$11,WEEKDAY(B154,2))*(1-MIN(1,SUMPRODUCT((Eventos!$A$5:$A$40&lt;=B154)*(Eventos!$B$5:$B$40&gt;=B154)*Eventos!$D$5:$D$40)))+SUMPRODUCT((Eventos!$A$5:$A$40&lt;=B154)*(Eventos!$B$5:$B$40&gt;=B154)*Eventos!$E$5:$E$40)))</f>
        <v>1</v>
      </c>
      <c r="G154" s="18"/>
      <c r="H154" s="7" t="str">
        <f aca="false">IF(G154="","",G154*Panel!$B$8)</f>
        <v/>
      </c>
      <c r="I154" s="18"/>
      <c r="J154" s="18"/>
      <c r="K154" s="18"/>
      <c r="L154" s="8"/>
      <c r="M154" s="17" t="str">
        <f aca="false">IF(L154="","",IF(OR(WEEKDAY(B154,2)=5,WEEKDAY(B154,2)=6),"—",IF(AND(L154&gt;=0.5,L154&lt;=Panel!$B$11),"Sí","No")))</f>
        <v/>
      </c>
      <c r="N154" s="18"/>
    </row>
    <row r="155" customFormat="false" ht="15" hidden="false" customHeight="false" outlineLevel="0" collapsed="false">
      <c r="A155" s="17" t="n">
        <f aca="false">INT((B155-Panel!$B$4)/7)+1</f>
        <v>22</v>
      </c>
      <c r="B155" s="5" t="n">
        <f aca="false">B154+1</f>
        <v>46477</v>
      </c>
      <c r="C155" s="17" t="str">
        <f aca="false">CHOOSE(WEEKDAY(B155,2),"Lun","Mar","Mié","Jue","Vie","Sáb","Dom")</f>
        <v>Mié</v>
      </c>
      <c r="D155" s="17" t="str">
        <f aca="false">INDEX(Calendario!$D$5:$D$33,A155)</f>
        <v>Portafolio</v>
      </c>
      <c r="E155" s="17" t="str">
        <f aca="false">INDEX(Rutina!$D$5:$D$11,WEEKDAY(B155,2))</f>
        <v>Q</v>
      </c>
      <c r="F155" s="7" t="n">
        <f aca="false">IF(B155&gt;Panel!$B$5,0,MAX(0,INDEX(Rutina!$B$5:$B$11,WEEKDAY(B155,2))*(1-MIN(1,SUMPRODUCT((Eventos!$A$5:$A$40&lt;=B155)*(Eventos!$B$5:$B$40&gt;=B155)*Eventos!$D$5:$D$40)))+SUMPRODUCT((Eventos!$A$5:$A$40&lt;=B155)*(Eventos!$B$5:$B$40&gt;=B155)*Eventos!$E$5:$E$40)))</f>
        <v>1</v>
      </c>
      <c r="G155" s="18"/>
      <c r="H155" s="7" t="str">
        <f aca="false">IF(G155="","",G155*Panel!$B$8)</f>
        <v/>
      </c>
      <c r="I155" s="18"/>
      <c r="J155" s="18"/>
      <c r="K155" s="18"/>
      <c r="L155" s="8"/>
      <c r="M155" s="17" t="str">
        <f aca="false">IF(L155="","",IF(OR(WEEKDAY(B155,2)=5,WEEKDAY(B155,2)=6),"—",IF(AND(L155&gt;=0.5,L155&lt;=Panel!$B$11),"Sí","No")))</f>
        <v/>
      </c>
      <c r="N155" s="18"/>
    </row>
    <row r="156" customFormat="false" ht="15" hidden="false" customHeight="false" outlineLevel="0" collapsed="false">
      <c r="A156" s="17" t="n">
        <f aca="false">INT((B156-Panel!$B$4)/7)+1</f>
        <v>22</v>
      </c>
      <c r="B156" s="5" t="n">
        <f aca="false">B155+1</f>
        <v>46478</v>
      </c>
      <c r="C156" s="17" t="str">
        <f aca="false">CHOOSE(WEEKDAY(B156,2),"Lun","Mar","Mié","Jue","Vie","Sáb","Dom")</f>
        <v>Jue</v>
      </c>
      <c r="D156" s="17" t="str">
        <f aca="false">INDEX(Calendario!$D$5:$D$33,A156)</f>
        <v>Portafolio</v>
      </c>
      <c r="E156" s="17" t="str">
        <f aca="false">INDEX(Rutina!$D$5:$D$11,WEEKDAY(B156,2))</f>
        <v>Q</v>
      </c>
      <c r="F156" s="7" t="n">
        <f aca="false">IF(B156&gt;Panel!$B$5,0,MAX(0,INDEX(Rutina!$B$5:$B$11,WEEKDAY(B156,2))*(1-MIN(1,SUMPRODUCT((Eventos!$A$5:$A$40&lt;=B156)*(Eventos!$B$5:$B$40&gt;=B156)*Eventos!$D$5:$D$40)))+SUMPRODUCT((Eventos!$A$5:$A$40&lt;=B156)*(Eventos!$B$5:$B$40&gt;=B156)*Eventos!$E$5:$E$40)))</f>
        <v>1</v>
      </c>
      <c r="G156" s="18"/>
      <c r="H156" s="7" t="str">
        <f aca="false">IF(G156="","",G156*Panel!$B$8)</f>
        <v/>
      </c>
      <c r="I156" s="18"/>
      <c r="J156" s="18"/>
      <c r="K156" s="18"/>
      <c r="L156" s="8"/>
      <c r="M156" s="17" t="str">
        <f aca="false">IF(L156="","",IF(OR(WEEKDAY(B156,2)=5,WEEKDAY(B156,2)=6),"—",IF(AND(L156&gt;=0.5,L156&lt;=Panel!$B$11),"Sí","No")))</f>
        <v/>
      </c>
      <c r="N156" s="18"/>
    </row>
    <row r="157" customFormat="false" ht="15" hidden="false" customHeight="false" outlineLevel="0" collapsed="false">
      <c r="A157" s="17" t="n">
        <f aca="false">INT((B157-Panel!$B$4)/7)+1</f>
        <v>22</v>
      </c>
      <c r="B157" s="5" t="n">
        <f aca="false">B156+1</f>
        <v>46479</v>
      </c>
      <c r="C157" s="17" t="str">
        <f aca="false">CHOOSE(WEEKDAY(B157,2),"Lun","Mar","Mié","Jue","Vie","Sáb","Dom")</f>
        <v>Vie</v>
      </c>
      <c r="D157" s="17" t="str">
        <f aca="false">INDEX(Calendario!$D$5:$D$33,A157)</f>
        <v>Portafolio</v>
      </c>
      <c r="E157" s="17" t="str">
        <f aca="false">INDEX(Rutina!$D$5:$D$11,WEEKDAY(B157,2))</f>
        <v>L + Q</v>
      </c>
      <c r="F157" s="7" t="n">
        <f aca="false">IF(B157&gt;Panel!$B$5,0,MAX(0,INDEX(Rutina!$B$5:$B$11,WEEKDAY(B157,2))*(1-MIN(1,SUMPRODUCT((Eventos!$A$5:$A$40&lt;=B157)*(Eventos!$B$5:$B$40&gt;=B157)*Eventos!$D$5:$D$40)))+SUMPRODUCT((Eventos!$A$5:$A$40&lt;=B157)*(Eventos!$B$5:$B$40&gt;=B157)*Eventos!$E$5:$E$40)))</f>
        <v>3</v>
      </c>
      <c r="G157" s="18"/>
      <c r="H157" s="7" t="str">
        <f aca="false">IF(G157="","",G157*Panel!$B$8)</f>
        <v/>
      </c>
      <c r="I157" s="18"/>
      <c r="J157" s="18"/>
      <c r="K157" s="18"/>
      <c r="L157" s="8"/>
      <c r="M157" s="17" t="str">
        <f aca="false">IF(L157="","",IF(OR(WEEKDAY(B157,2)=5,WEEKDAY(B157,2)=6),"—",IF(AND(L157&gt;=0.5,L157&lt;=Panel!$B$11),"Sí","No")))</f>
        <v/>
      </c>
      <c r="N157" s="18"/>
    </row>
    <row r="158" customFormat="false" ht="15" hidden="false" customHeight="false" outlineLevel="0" collapsed="false">
      <c r="A158" s="17" t="n">
        <f aca="false">INT((B158-Panel!$B$4)/7)+1</f>
        <v>22</v>
      </c>
      <c r="B158" s="5" t="n">
        <f aca="false">B157+1</f>
        <v>46480</v>
      </c>
      <c r="C158" s="17" t="str">
        <f aca="false">CHOOSE(WEEKDAY(B158,2),"Lun","Mar","Mié","Jue","Vie","Sáb","Dom")</f>
        <v>Sáb</v>
      </c>
      <c r="D158" s="17" t="str">
        <f aca="false">INDEX(Calendario!$D$5:$D$33,A158)</f>
        <v>Portafolio</v>
      </c>
      <c r="E158" s="17" t="str">
        <f aca="false">INDEX(Rutina!$D$5:$D$11,WEEKDAY(B158,2))</f>
        <v>L + R</v>
      </c>
      <c r="F158" s="7" t="n">
        <f aca="false">IF(B158&gt;Panel!$B$5,0,MAX(0,INDEX(Rutina!$B$5:$B$11,WEEKDAY(B158,2))*(1-MIN(1,SUMPRODUCT((Eventos!$A$5:$A$40&lt;=B158)*(Eventos!$B$5:$B$40&gt;=B158)*Eventos!$D$5:$D$40)))+SUMPRODUCT((Eventos!$A$5:$A$40&lt;=B158)*(Eventos!$B$5:$B$40&gt;=B158)*Eventos!$E$5:$E$40)))</f>
        <v>2</v>
      </c>
      <c r="G158" s="18"/>
      <c r="H158" s="7" t="str">
        <f aca="false">IF(G158="","",G158*Panel!$B$8)</f>
        <v/>
      </c>
      <c r="I158" s="18"/>
      <c r="J158" s="18"/>
      <c r="K158" s="18"/>
      <c r="L158" s="8"/>
      <c r="M158" s="17" t="str">
        <f aca="false">IF(L158="","",IF(OR(WEEKDAY(B158,2)=5,WEEKDAY(B158,2)=6),"—",IF(AND(L158&gt;=0.5,L158&lt;=Panel!$B$11),"Sí","No")))</f>
        <v/>
      </c>
      <c r="N158" s="18"/>
    </row>
    <row r="159" customFormat="false" ht="15" hidden="false" customHeight="false" outlineLevel="0" collapsed="false">
      <c r="A159" s="17" t="n">
        <f aca="false">INT((B159-Panel!$B$4)/7)+1</f>
        <v>22</v>
      </c>
      <c r="B159" s="5" t="n">
        <f aca="false">B158+1</f>
        <v>46481</v>
      </c>
      <c r="C159" s="17" t="str">
        <f aca="false">CHOOSE(WEEKDAY(B159,2),"Lun","Mar","Mié","Jue","Vie","Sáb","Dom")</f>
        <v>Dom</v>
      </c>
      <c r="D159" s="17" t="str">
        <f aca="false">INDEX(Calendario!$D$5:$D$33,A159)</f>
        <v>Portafolio</v>
      </c>
      <c r="E159" s="17" t="str">
        <f aca="false">INDEX(Rutina!$D$5:$D$11,WEEKDAY(B159,2))</f>
        <v>V + F</v>
      </c>
      <c r="F159" s="7" t="n">
        <f aca="false">IF(B159&gt;Panel!$B$5,0,MAX(0,INDEX(Rutina!$B$5:$B$11,WEEKDAY(B159,2))*(1-MIN(1,SUMPRODUCT((Eventos!$A$5:$A$40&lt;=B159)*(Eventos!$B$5:$B$40&gt;=B159)*Eventos!$D$5:$D$40)))+SUMPRODUCT((Eventos!$A$5:$A$40&lt;=B159)*(Eventos!$B$5:$B$40&gt;=B159)*Eventos!$E$5:$E$40)))</f>
        <v>2</v>
      </c>
      <c r="G159" s="18"/>
      <c r="H159" s="7" t="str">
        <f aca="false">IF(G159="","",G159*Panel!$B$8)</f>
        <v/>
      </c>
      <c r="I159" s="18"/>
      <c r="J159" s="18"/>
      <c r="K159" s="18"/>
      <c r="L159" s="8"/>
      <c r="M159" s="17" t="str">
        <f aca="false">IF(L159="","",IF(OR(WEEKDAY(B159,2)=5,WEEKDAY(B159,2)=6),"—",IF(AND(L159&gt;=0.5,L159&lt;=Panel!$B$11),"Sí","No")))</f>
        <v/>
      </c>
      <c r="N159" s="18"/>
    </row>
    <row r="160" customFormat="false" ht="15" hidden="false" customHeight="false" outlineLevel="0" collapsed="false">
      <c r="A160" s="17" t="n">
        <f aca="false">INT((B160-Panel!$B$4)/7)+1</f>
        <v>23</v>
      </c>
      <c r="B160" s="5" t="n">
        <f aca="false">B159+1</f>
        <v>46482</v>
      </c>
      <c r="C160" s="17" t="str">
        <f aca="false">CHOOSE(WEEKDAY(B160,2),"Lun","Mar","Mié","Jue","Vie","Sáb","Dom")</f>
        <v>Lun</v>
      </c>
      <c r="D160" s="17" t="str">
        <f aca="false">INDEX(Calendario!$D$5:$D$33,A160)</f>
        <v>Todos</v>
      </c>
      <c r="E160" s="17" t="str">
        <f aca="false">INDEX(Rutina!$D$5:$D$11,WEEKDAY(B160,2))</f>
        <v>R</v>
      </c>
      <c r="F160" s="7" t="n">
        <f aca="false">IF(B160&gt;Panel!$B$5,0,MAX(0,INDEX(Rutina!$B$5:$B$11,WEEKDAY(B160,2))*(1-MIN(1,SUMPRODUCT((Eventos!$A$5:$A$40&lt;=B160)*(Eventos!$B$5:$B$40&gt;=B160)*Eventos!$D$5:$D$40)))+SUMPRODUCT((Eventos!$A$5:$A$40&lt;=B160)*(Eventos!$B$5:$B$40&gt;=B160)*Eventos!$E$5:$E$40)))</f>
        <v>1</v>
      </c>
      <c r="G160" s="18"/>
      <c r="H160" s="7" t="str">
        <f aca="false">IF(G160="","",G160*Panel!$B$8)</f>
        <v/>
      </c>
      <c r="I160" s="18"/>
      <c r="J160" s="18"/>
      <c r="K160" s="18"/>
      <c r="L160" s="8"/>
      <c r="M160" s="17" t="str">
        <f aca="false">IF(L160="","",IF(OR(WEEKDAY(B160,2)=5,WEEKDAY(B160,2)=6),"—",IF(AND(L160&gt;=0.5,L160&lt;=Panel!$B$11),"Sí","No")))</f>
        <v/>
      </c>
      <c r="N160" s="18"/>
    </row>
    <row r="161" customFormat="false" ht="15" hidden="false" customHeight="false" outlineLevel="0" collapsed="false">
      <c r="A161" s="17" t="n">
        <f aca="false">INT((B161-Panel!$B$4)/7)+1</f>
        <v>23</v>
      </c>
      <c r="B161" s="5" t="n">
        <f aca="false">B160+1</f>
        <v>46483</v>
      </c>
      <c r="C161" s="17" t="str">
        <f aca="false">CHOOSE(WEEKDAY(B161,2),"Lun","Mar","Mié","Jue","Vie","Sáb","Dom")</f>
        <v>Mar</v>
      </c>
      <c r="D161" s="17" t="str">
        <f aca="false">INDEX(Calendario!$D$5:$D$33,A161)</f>
        <v>Todos</v>
      </c>
      <c r="E161" s="17" t="str">
        <f aca="false">INDEX(Rutina!$D$5:$D$11,WEEKDAY(B161,2))</f>
        <v>R</v>
      </c>
      <c r="F161" s="7" t="n">
        <f aca="false">IF(B161&gt;Panel!$B$5,0,MAX(0,INDEX(Rutina!$B$5:$B$11,WEEKDAY(B161,2))*(1-MIN(1,SUMPRODUCT((Eventos!$A$5:$A$40&lt;=B161)*(Eventos!$B$5:$B$40&gt;=B161)*Eventos!$D$5:$D$40)))+SUMPRODUCT((Eventos!$A$5:$A$40&lt;=B161)*(Eventos!$B$5:$B$40&gt;=B161)*Eventos!$E$5:$E$40)))</f>
        <v>1</v>
      </c>
      <c r="G161" s="18"/>
      <c r="H161" s="7" t="str">
        <f aca="false">IF(G161="","",G161*Panel!$B$8)</f>
        <v/>
      </c>
      <c r="I161" s="18"/>
      <c r="J161" s="18"/>
      <c r="K161" s="18"/>
      <c r="L161" s="8"/>
      <c r="M161" s="17" t="str">
        <f aca="false">IF(L161="","",IF(OR(WEEKDAY(B161,2)=5,WEEKDAY(B161,2)=6),"—",IF(AND(L161&gt;=0.5,L161&lt;=Panel!$B$11),"Sí","No")))</f>
        <v/>
      </c>
      <c r="N161" s="18"/>
    </row>
    <row r="162" customFormat="false" ht="15" hidden="false" customHeight="false" outlineLevel="0" collapsed="false">
      <c r="A162" s="17" t="n">
        <f aca="false">INT((B162-Panel!$B$4)/7)+1</f>
        <v>23</v>
      </c>
      <c r="B162" s="5" t="n">
        <f aca="false">B161+1</f>
        <v>46484</v>
      </c>
      <c r="C162" s="17" t="str">
        <f aca="false">CHOOSE(WEEKDAY(B162,2),"Lun","Mar","Mié","Jue","Vie","Sáb","Dom")</f>
        <v>Mié</v>
      </c>
      <c r="D162" s="17" t="str">
        <f aca="false">INDEX(Calendario!$D$5:$D$33,A162)</f>
        <v>Todos</v>
      </c>
      <c r="E162" s="17" t="str">
        <f aca="false">INDEX(Rutina!$D$5:$D$11,WEEKDAY(B162,2))</f>
        <v>Q</v>
      </c>
      <c r="F162" s="7" t="n">
        <f aca="false">IF(B162&gt;Panel!$B$5,0,MAX(0,INDEX(Rutina!$B$5:$B$11,WEEKDAY(B162,2))*(1-MIN(1,SUMPRODUCT((Eventos!$A$5:$A$40&lt;=B162)*(Eventos!$B$5:$B$40&gt;=B162)*Eventos!$D$5:$D$40)))+SUMPRODUCT((Eventos!$A$5:$A$40&lt;=B162)*(Eventos!$B$5:$B$40&gt;=B162)*Eventos!$E$5:$E$40)))</f>
        <v>1</v>
      </c>
      <c r="G162" s="18"/>
      <c r="H162" s="7" t="str">
        <f aca="false">IF(G162="","",G162*Panel!$B$8)</f>
        <v/>
      </c>
      <c r="I162" s="18"/>
      <c r="J162" s="18"/>
      <c r="K162" s="18"/>
      <c r="L162" s="8"/>
      <c r="M162" s="17" t="str">
        <f aca="false">IF(L162="","",IF(OR(WEEKDAY(B162,2)=5,WEEKDAY(B162,2)=6),"—",IF(AND(L162&gt;=0.5,L162&lt;=Panel!$B$11),"Sí","No")))</f>
        <v/>
      </c>
      <c r="N162" s="18"/>
    </row>
    <row r="163" customFormat="false" ht="15" hidden="false" customHeight="false" outlineLevel="0" collapsed="false">
      <c r="A163" s="17" t="n">
        <f aca="false">INT((B163-Panel!$B$4)/7)+1</f>
        <v>23</v>
      </c>
      <c r="B163" s="5" t="n">
        <f aca="false">B162+1</f>
        <v>46485</v>
      </c>
      <c r="C163" s="17" t="str">
        <f aca="false">CHOOSE(WEEKDAY(B163,2),"Lun","Mar","Mié","Jue","Vie","Sáb","Dom")</f>
        <v>Jue</v>
      </c>
      <c r="D163" s="17" t="str">
        <f aca="false">INDEX(Calendario!$D$5:$D$33,A163)</f>
        <v>Todos</v>
      </c>
      <c r="E163" s="17" t="str">
        <f aca="false">INDEX(Rutina!$D$5:$D$11,WEEKDAY(B163,2))</f>
        <v>Q</v>
      </c>
      <c r="F163" s="7" t="n">
        <f aca="false">IF(B163&gt;Panel!$B$5,0,MAX(0,INDEX(Rutina!$B$5:$B$11,WEEKDAY(B163,2))*(1-MIN(1,SUMPRODUCT((Eventos!$A$5:$A$40&lt;=B163)*(Eventos!$B$5:$B$40&gt;=B163)*Eventos!$D$5:$D$40)))+SUMPRODUCT((Eventos!$A$5:$A$40&lt;=B163)*(Eventos!$B$5:$B$40&gt;=B163)*Eventos!$E$5:$E$40)))</f>
        <v>1</v>
      </c>
      <c r="G163" s="18"/>
      <c r="H163" s="7" t="str">
        <f aca="false">IF(G163="","",G163*Panel!$B$8)</f>
        <v/>
      </c>
      <c r="I163" s="18"/>
      <c r="J163" s="18"/>
      <c r="K163" s="18"/>
      <c r="L163" s="8"/>
      <c r="M163" s="17" t="str">
        <f aca="false">IF(L163="","",IF(OR(WEEKDAY(B163,2)=5,WEEKDAY(B163,2)=6),"—",IF(AND(L163&gt;=0.5,L163&lt;=Panel!$B$11),"Sí","No")))</f>
        <v/>
      </c>
      <c r="N163" s="18"/>
    </row>
    <row r="164" customFormat="false" ht="15" hidden="false" customHeight="false" outlineLevel="0" collapsed="false">
      <c r="A164" s="17" t="n">
        <f aca="false">INT((B164-Panel!$B$4)/7)+1</f>
        <v>23</v>
      </c>
      <c r="B164" s="5" t="n">
        <f aca="false">B163+1</f>
        <v>46486</v>
      </c>
      <c r="C164" s="17" t="str">
        <f aca="false">CHOOSE(WEEKDAY(B164,2),"Lun","Mar","Mié","Jue","Vie","Sáb","Dom")</f>
        <v>Vie</v>
      </c>
      <c r="D164" s="17" t="str">
        <f aca="false">INDEX(Calendario!$D$5:$D$33,A164)</f>
        <v>Todos</v>
      </c>
      <c r="E164" s="17" t="str">
        <f aca="false">INDEX(Rutina!$D$5:$D$11,WEEKDAY(B164,2))</f>
        <v>L + Q</v>
      </c>
      <c r="F164" s="7" t="n">
        <f aca="false">IF(B164&gt;Panel!$B$5,0,MAX(0,INDEX(Rutina!$B$5:$B$11,WEEKDAY(B164,2))*(1-MIN(1,SUMPRODUCT((Eventos!$A$5:$A$40&lt;=B164)*(Eventos!$B$5:$B$40&gt;=B164)*Eventos!$D$5:$D$40)))+SUMPRODUCT((Eventos!$A$5:$A$40&lt;=B164)*(Eventos!$B$5:$B$40&gt;=B164)*Eventos!$E$5:$E$40)))</f>
        <v>2</v>
      </c>
      <c r="G164" s="18"/>
      <c r="H164" s="7" t="str">
        <f aca="false">IF(G164="","",G164*Panel!$B$8)</f>
        <v/>
      </c>
      <c r="I164" s="18"/>
      <c r="J164" s="18"/>
      <c r="K164" s="18"/>
      <c r="L164" s="8"/>
      <c r="M164" s="17" t="str">
        <f aca="false">IF(L164="","",IF(OR(WEEKDAY(B164,2)=5,WEEKDAY(B164,2)=6),"—",IF(AND(L164&gt;=0.5,L164&lt;=Panel!$B$11),"Sí","No")))</f>
        <v/>
      </c>
      <c r="N164" s="18"/>
    </row>
    <row r="165" customFormat="false" ht="15" hidden="false" customHeight="false" outlineLevel="0" collapsed="false">
      <c r="A165" s="17" t="n">
        <f aca="false">INT((B165-Panel!$B$4)/7)+1</f>
        <v>23</v>
      </c>
      <c r="B165" s="5" t="n">
        <f aca="false">B164+1</f>
        <v>46487</v>
      </c>
      <c r="C165" s="17" t="str">
        <f aca="false">CHOOSE(WEEKDAY(B165,2),"Lun","Mar","Mié","Jue","Vie","Sáb","Dom")</f>
        <v>Sáb</v>
      </c>
      <c r="D165" s="17" t="str">
        <f aca="false">INDEX(Calendario!$D$5:$D$33,A165)</f>
        <v>Todos</v>
      </c>
      <c r="E165" s="17" t="str">
        <f aca="false">INDEX(Rutina!$D$5:$D$11,WEEKDAY(B165,2))</f>
        <v>L + R</v>
      </c>
      <c r="F165" s="7" t="n">
        <f aca="false">IF(B165&gt;Panel!$B$5,0,MAX(0,INDEX(Rutina!$B$5:$B$11,WEEKDAY(B165,2))*(1-MIN(1,SUMPRODUCT((Eventos!$A$5:$A$40&lt;=B165)*(Eventos!$B$5:$B$40&gt;=B165)*Eventos!$D$5:$D$40)))+SUMPRODUCT((Eventos!$A$5:$A$40&lt;=B165)*(Eventos!$B$5:$B$40&gt;=B165)*Eventos!$E$5:$E$40)))</f>
        <v>2</v>
      </c>
      <c r="G165" s="18"/>
      <c r="H165" s="7" t="str">
        <f aca="false">IF(G165="","",G165*Panel!$B$8)</f>
        <v/>
      </c>
      <c r="I165" s="18"/>
      <c r="J165" s="18"/>
      <c r="K165" s="18"/>
      <c r="L165" s="8"/>
      <c r="M165" s="17" t="str">
        <f aca="false">IF(L165="","",IF(OR(WEEKDAY(B165,2)=5,WEEKDAY(B165,2)=6),"—",IF(AND(L165&gt;=0.5,L165&lt;=Panel!$B$11),"Sí","No")))</f>
        <v/>
      </c>
      <c r="N165" s="18"/>
    </row>
    <row r="166" customFormat="false" ht="15" hidden="false" customHeight="false" outlineLevel="0" collapsed="false">
      <c r="A166" s="17" t="n">
        <f aca="false">INT((B166-Panel!$B$4)/7)+1</f>
        <v>23</v>
      </c>
      <c r="B166" s="5" t="n">
        <f aca="false">B165+1</f>
        <v>46488</v>
      </c>
      <c r="C166" s="17" t="str">
        <f aca="false">CHOOSE(WEEKDAY(B166,2),"Lun","Mar","Mié","Jue","Vie","Sáb","Dom")</f>
        <v>Dom</v>
      </c>
      <c r="D166" s="17" t="str">
        <f aca="false">INDEX(Calendario!$D$5:$D$33,A166)</f>
        <v>Todos</v>
      </c>
      <c r="E166" s="17" t="str">
        <f aca="false">INDEX(Rutina!$D$5:$D$11,WEEKDAY(B166,2))</f>
        <v>V + F</v>
      </c>
      <c r="F166" s="7" t="n">
        <f aca="false">IF(B166&gt;Panel!$B$5,0,MAX(0,INDEX(Rutina!$B$5:$B$11,WEEKDAY(B166,2))*(1-MIN(1,SUMPRODUCT((Eventos!$A$5:$A$40&lt;=B166)*(Eventos!$B$5:$B$40&gt;=B166)*Eventos!$D$5:$D$40)))+SUMPRODUCT((Eventos!$A$5:$A$40&lt;=B166)*(Eventos!$B$5:$B$40&gt;=B166)*Eventos!$E$5:$E$40)))</f>
        <v>2</v>
      </c>
      <c r="G166" s="18"/>
      <c r="H166" s="7" t="str">
        <f aca="false">IF(G166="","",G166*Panel!$B$8)</f>
        <v/>
      </c>
      <c r="I166" s="18"/>
      <c r="J166" s="18"/>
      <c r="K166" s="18"/>
      <c r="L166" s="8"/>
      <c r="M166" s="17" t="str">
        <f aca="false">IF(L166="","",IF(OR(WEEKDAY(B166,2)=5,WEEKDAY(B166,2)=6),"—",IF(AND(L166&gt;=0.5,L166&lt;=Panel!$B$11),"Sí","No")))</f>
        <v/>
      </c>
      <c r="N166" s="18"/>
    </row>
    <row r="167" customFormat="false" ht="15" hidden="false" customHeight="false" outlineLevel="0" collapsed="false">
      <c r="A167" s="17" t="n">
        <f aca="false">INT((B167-Panel!$B$4)/7)+1</f>
        <v>24</v>
      </c>
      <c r="B167" s="5" t="n">
        <f aca="false">B166+1</f>
        <v>46489</v>
      </c>
      <c r="C167" s="17" t="str">
        <f aca="false">CHOOSE(WEEKDAY(B167,2),"Lun","Mar","Mié","Jue","Vie","Sáb","Dom")</f>
        <v>Lun</v>
      </c>
      <c r="D167" s="17" t="str">
        <f aca="false">INDEX(Calendario!$D$5:$D$33,A167)</f>
        <v>Todos</v>
      </c>
      <c r="E167" s="17" t="str">
        <f aca="false">INDEX(Rutina!$D$5:$D$11,WEEKDAY(B167,2))</f>
        <v>R</v>
      </c>
      <c r="F167" s="7" t="n">
        <f aca="false">IF(B167&gt;Panel!$B$5,0,MAX(0,INDEX(Rutina!$B$5:$B$11,WEEKDAY(B167,2))*(1-MIN(1,SUMPRODUCT((Eventos!$A$5:$A$40&lt;=B167)*(Eventos!$B$5:$B$40&gt;=B167)*Eventos!$D$5:$D$40)))+SUMPRODUCT((Eventos!$A$5:$A$40&lt;=B167)*(Eventos!$B$5:$B$40&gt;=B167)*Eventos!$E$5:$E$40)))</f>
        <v>1</v>
      </c>
      <c r="G167" s="18"/>
      <c r="H167" s="7" t="str">
        <f aca="false">IF(G167="","",G167*Panel!$B$8)</f>
        <v/>
      </c>
      <c r="I167" s="18"/>
      <c r="J167" s="18"/>
      <c r="K167" s="18"/>
      <c r="L167" s="8"/>
      <c r="M167" s="17" t="str">
        <f aca="false">IF(L167="","",IF(OR(WEEKDAY(B167,2)=5,WEEKDAY(B167,2)=6),"—",IF(AND(L167&gt;=0.5,L167&lt;=Panel!$B$11),"Sí","No")))</f>
        <v/>
      </c>
      <c r="N167" s="18"/>
    </row>
    <row r="168" customFormat="false" ht="15" hidden="false" customHeight="false" outlineLevel="0" collapsed="false">
      <c r="A168" s="17" t="n">
        <f aca="false">INT((B168-Panel!$B$4)/7)+1</f>
        <v>24</v>
      </c>
      <c r="B168" s="5" t="n">
        <f aca="false">B167+1</f>
        <v>46490</v>
      </c>
      <c r="C168" s="17" t="str">
        <f aca="false">CHOOSE(WEEKDAY(B168,2),"Lun","Mar","Mié","Jue","Vie","Sáb","Dom")</f>
        <v>Mar</v>
      </c>
      <c r="D168" s="17" t="str">
        <f aca="false">INDEX(Calendario!$D$5:$D$33,A168)</f>
        <v>Todos</v>
      </c>
      <c r="E168" s="17" t="str">
        <f aca="false">INDEX(Rutina!$D$5:$D$11,WEEKDAY(B168,2))</f>
        <v>R</v>
      </c>
      <c r="F168" s="7" t="n">
        <f aca="false">IF(B168&gt;Panel!$B$5,0,MAX(0,INDEX(Rutina!$B$5:$B$11,WEEKDAY(B168,2))*(1-MIN(1,SUMPRODUCT((Eventos!$A$5:$A$40&lt;=B168)*(Eventos!$B$5:$B$40&gt;=B168)*Eventos!$D$5:$D$40)))+SUMPRODUCT((Eventos!$A$5:$A$40&lt;=B168)*(Eventos!$B$5:$B$40&gt;=B168)*Eventos!$E$5:$E$40)))</f>
        <v>1</v>
      </c>
      <c r="G168" s="18"/>
      <c r="H168" s="7" t="str">
        <f aca="false">IF(G168="","",G168*Panel!$B$8)</f>
        <v/>
      </c>
      <c r="I168" s="18"/>
      <c r="J168" s="18"/>
      <c r="K168" s="18"/>
      <c r="L168" s="8"/>
      <c r="M168" s="17" t="str">
        <f aca="false">IF(L168="","",IF(OR(WEEKDAY(B168,2)=5,WEEKDAY(B168,2)=6),"—",IF(AND(L168&gt;=0.5,L168&lt;=Panel!$B$11),"Sí","No")))</f>
        <v/>
      </c>
      <c r="N168" s="18"/>
    </row>
    <row r="169" customFormat="false" ht="15" hidden="false" customHeight="false" outlineLevel="0" collapsed="false">
      <c r="A169" s="17" t="n">
        <f aca="false">INT((B169-Panel!$B$4)/7)+1</f>
        <v>24</v>
      </c>
      <c r="B169" s="5" t="n">
        <f aca="false">B168+1</f>
        <v>46491</v>
      </c>
      <c r="C169" s="17" t="str">
        <f aca="false">CHOOSE(WEEKDAY(B169,2),"Lun","Mar","Mié","Jue","Vie","Sáb","Dom")</f>
        <v>Mié</v>
      </c>
      <c r="D169" s="17" t="str">
        <f aca="false">INDEX(Calendario!$D$5:$D$33,A169)</f>
        <v>Todos</v>
      </c>
      <c r="E169" s="17" t="str">
        <f aca="false">INDEX(Rutina!$D$5:$D$11,WEEKDAY(B169,2))</f>
        <v>Q</v>
      </c>
      <c r="F169" s="7" t="n">
        <f aca="false">IF(B169&gt;Panel!$B$5,0,MAX(0,INDEX(Rutina!$B$5:$B$11,WEEKDAY(B169,2))*(1-MIN(1,SUMPRODUCT((Eventos!$A$5:$A$40&lt;=B169)*(Eventos!$B$5:$B$40&gt;=B169)*Eventos!$D$5:$D$40)))+SUMPRODUCT((Eventos!$A$5:$A$40&lt;=B169)*(Eventos!$B$5:$B$40&gt;=B169)*Eventos!$E$5:$E$40)))</f>
        <v>1</v>
      </c>
      <c r="G169" s="18"/>
      <c r="H169" s="7" t="str">
        <f aca="false">IF(G169="","",G169*Panel!$B$8)</f>
        <v/>
      </c>
      <c r="I169" s="18"/>
      <c r="J169" s="18"/>
      <c r="K169" s="18"/>
      <c r="L169" s="8"/>
      <c r="M169" s="17" t="str">
        <f aca="false">IF(L169="","",IF(OR(WEEKDAY(B169,2)=5,WEEKDAY(B169,2)=6),"—",IF(AND(L169&gt;=0.5,L169&lt;=Panel!$B$11),"Sí","No")))</f>
        <v/>
      </c>
      <c r="N169" s="18"/>
    </row>
    <row r="170" customFormat="false" ht="15" hidden="false" customHeight="false" outlineLevel="0" collapsed="false">
      <c r="A170" s="17" t="n">
        <f aca="false">INT((B170-Panel!$B$4)/7)+1</f>
        <v>24</v>
      </c>
      <c r="B170" s="5" t="n">
        <f aca="false">B169+1</f>
        <v>46492</v>
      </c>
      <c r="C170" s="17" t="str">
        <f aca="false">CHOOSE(WEEKDAY(B170,2),"Lun","Mar","Mié","Jue","Vie","Sáb","Dom")</f>
        <v>Jue</v>
      </c>
      <c r="D170" s="17" t="str">
        <f aca="false">INDEX(Calendario!$D$5:$D$33,A170)</f>
        <v>Todos</v>
      </c>
      <c r="E170" s="17" t="str">
        <f aca="false">INDEX(Rutina!$D$5:$D$11,WEEKDAY(B170,2))</f>
        <v>Q</v>
      </c>
      <c r="F170" s="7" t="n">
        <f aca="false">IF(B170&gt;Panel!$B$5,0,MAX(0,INDEX(Rutina!$B$5:$B$11,WEEKDAY(B170,2))*(1-MIN(1,SUMPRODUCT((Eventos!$A$5:$A$40&lt;=B170)*(Eventos!$B$5:$B$40&gt;=B170)*Eventos!$D$5:$D$40)))+SUMPRODUCT((Eventos!$A$5:$A$40&lt;=B170)*(Eventos!$B$5:$B$40&gt;=B170)*Eventos!$E$5:$E$40)))</f>
        <v>1</v>
      </c>
      <c r="G170" s="18"/>
      <c r="H170" s="7" t="str">
        <f aca="false">IF(G170="","",G170*Panel!$B$8)</f>
        <v/>
      </c>
      <c r="I170" s="18"/>
      <c r="J170" s="18"/>
      <c r="K170" s="18"/>
      <c r="L170" s="8"/>
      <c r="M170" s="17" t="str">
        <f aca="false">IF(L170="","",IF(OR(WEEKDAY(B170,2)=5,WEEKDAY(B170,2)=6),"—",IF(AND(L170&gt;=0.5,L170&lt;=Panel!$B$11),"Sí","No")))</f>
        <v/>
      </c>
      <c r="N170" s="18"/>
    </row>
    <row r="171" customFormat="false" ht="15" hidden="false" customHeight="false" outlineLevel="0" collapsed="false">
      <c r="A171" s="17" t="n">
        <f aca="false">INT((B171-Panel!$B$4)/7)+1</f>
        <v>24</v>
      </c>
      <c r="B171" s="5" t="n">
        <f aca="false">B170+1</f>
        <v>46493</v>
      </c>
      <c r="C171" s="17" t="str">
        <f aca="false">CHOOSE(WEEKDAY(B171,2),"Lun","Mar","Mié","Jue","Vie","Sáb","Dom")</f>
        <v>Vie</v>
      </c>
      <c r="D171" s="17" t="str">
        <f aca="false">INDEX(Calendario!$D$5:$D$33,A171)</f>
        <v>Todos</v>
      </c>
      <c r="E171" s="17" t="str">
        <f aca="false">INDEX(Rutina!$D$5:$D$11,WEEKDAY(B171,2))</f>
        <v>L + Q</v>
      </c>
      <c r="F171" s="7" t="n">
        <f aca="false">IF(B171&gt;Panel!$B$5,0,MAX(0,INDEX(Rutina!$B$5:$B$11,WEEKDAY(B171,2))*(1-MIN(1,SUMPRODUCT((Eventos!$A$5:$A$40&lt;=B171)*(Eventos!$B$5:$B$40&gt;=B171)*Eventos!$D$5:$D$40)))+SUMPRODUCT((Eventos!$A$5:$A$40&lt;=B171)*(Eventos!$B$5:$B$40&gt;=B171)*Eventos!$E$5:$E$40)))</f>
        <v>2</v>
      </c>
      <c r="G171" s="18"/>
      <c r="H171" s="7" t="str">
        <f aca="false">IF(G171="","",G171*Panel!$B$8)</f>
        <v/>
      </c>
      <c r="I171" s="18"/>
      <c r="J171" s="18"/>
      <c r="K171" s="18"/>
      <c r="L171" s="8"/>
      <c r="M171" s="17" t="str">
        <f aca="false">IF(L171="","",IF(OR(WEEKDAY(B171,2)=5,WEEKDAY(B171,2)=6),"—",IF(AND(L171&gt;=0.5,L171&lt;=Panel!$B$11),"Sí","No")))</f>
        <v/>
      </c>
      <c r="N171" s="18"/>
    </row>
    <row r="172" customFormat="false" ht="15" hidden="false" customHeight="false" outlineLevel="0" collapsed="false">
      <c r="A172" s="17" t="n">
        <f aca="false">INT((B172-Panel!$B$4)/7)+1</f>
        <v>24</v>
      </c>
      <c r="B172" s="5" t="n">
        <f aca="false">B171+1</f>
        <v>46494</v>
      </c>
      <c r="C172" s="17" t="str">
        <f aca="false">CHOOSE(WEEKDAY(B172,2),"Lun","Mar","Mié","Jue","Vie","Sáb","Dom")</f>
        <v>Sáb</v>
      </c>
      <c r="D172" s="17" t="str">
        <f aca="false">INDEX(Calendario!$D$5:$D$33,A172)</f>
        <v>Todos</v>
      </c>
      <c r="E172" s="17" t="str">
        <f aca="false">INDEX(Rutina!$D$5:$D$11,WEEKDAY(B172,2))</f>
        <v>L + R</v>
      </c>
      <c r="F172" s="7" t="n">
        <f aca="false">IF(B172&gt;Panel!$B$5,0,MAX(0,INDEX(Rutina!$B$5:$B$11,WEEKDAY(B172,2))*(1-MIN(1,SUMPRODUCT((Eventos!$A$5:$A$40&lt;=B172)*(Eventos!$B$5:$B$40&gt;=B172)*Eventos!$D$5:$D$40)))+SUMPRODUCT((Eventos!$A$5:$A$40&lt;=B172)*(Eventos!$B$5:$B$40&gt;=B172)*Eventos!$E$5:$E$40)))</f>
        <v>2</v>
      </c>
      <c r="G172" s="18"/>
      <c r="H172" s="7" t="str">
        <f aca="false">IF(G172="","",G172*Panel!$B$8)</f>
        <v/>
      </c>
      <c r="I172" s="18"/>
      <c r="J172" s="18"/>
      <c r="K172" s="18"/>
      <c r="L172" s="8"/>
      <c r="M172" s="17" t="str">
        <f aca="false">IF(L172="","",IF(OR(WEEKDAY(B172,2)=5,WEEKDAY(B172,2)=6),"—",IF(AND(L172&gt;=0.5,L172&lt;=Panel!$B$11),"Sí","No")))</f>
        <v/>
      </c>
      <c r="N172" s="18"/>
    </row>
    <row r="173" customFormat="false" ht="15" hidden="false" customHeight="false" outlineLevel="0" collapsed="false">
      <c r="A173" s="17" t="n">
        <f aca="false">INT((B173-Panel!$B$4)/7)+1</f>
        <v>24</v>
      </c>
      <c r="B173" s="5" t="n">
        <f aca="false">B172+1</f>
        <v>46495</v>
      </c>
      <c r="C173" s="17" t="str">
        <f aca="false">CHOOSE(WEEKDAY(B173,2),"Lun","Mar","Mié","Jue","Vie","Sáb","Dom")</f>
        <v>Dom</v>
      </c>
      <c r="D173" s="17" t="str">
        <f aca="false">INDEX(Calendario!$D$5:$D$33,A173)</f>
        <v>Todos</v>
      </c>
      <c r="E173" s="17" t="str">
        <f aca="false">INDEX(Rutina!$D$5:$D$11,WEEKDAY(B173,2))</f>
        <v>V + F</v>
      </c>
      <c r="F173" s="7" t="n">
        <f aca="false">IF(B173&gt;Panel!$B$5,0,MAX(0,INDEX(Rutina!$B$5:$B$11,WEEKDAY(B173,2))*(1-MIN(1,SUMPRODUCT((Eventos!$A$5:$A$40&lt;=B173)*(Eventos!$B$5:$B$40&gt;=B173)*Eventos!$D$5:$D$40)))+SUMPRODUCT((Eventos!$A$5:$A$40&lt;=B173)*(Eventos!$B$5:$B$40&gt;=B173)*Eventos!$E$5:$E$40)))</f>
        <v>2</v>
      </c>
      <c r="G173" s="18"/>
      <c r="H173" s="7" t="str">
        <f aca="false">IF(G173="","",G173*Panel!$B$8)</f>
        <v/>
      </c>
      <c r="I173" s="18"/>
      <c r="J173" s="18"/>
      <c r="K173" s="18"/>
      <c r="L173" s="8"/>
      <c r="M173" s="17" t="str">
        <f aca="false">IF(L173="","",IF(OR(WEEKDAY(B173,2)=5,WEEKDAY(B173,2)=6),"—",IF(AND(L173&gt;=0.5,L173&lt;=Panel!$B$11),"Sí","No")))</f>
        <v/>
      </c>
      <c r="N173" s="18"/>
    </row>
    <row r="174" customFormat="false" ht="15" hidden="false" customHeight="false" outlineLevel="0" collapsed="false">
      <c r="A174" s="17" t="n">
        <f aca="false">INT((B174-Panel!$B$4)/7)+1</f>
        <v>25</v>
      </c>
      <c r="B174" s="5" t="n">
        <f aca="false">B173+1</f>
        <v>46496</v>
      </c>
      <c r="C174" s="17" t="str">
        <f aca="false">CHOOSE(WEEKDAY(B174,2),"Lun","Mar","Mié","Jue","Vie","Sáb","Dom")</f>
        <v>Lun</v>
      </c>
      <c r="D174" s="17" t="str">
        <f aca="false">INDEX(Calendario!$D$5:$D$33,A174)</f>
        <v>Todos</v>
      </c>
      <c r="E174" s="17" t="str">
        <f aca="false">INDEX(Rutina!$D$5:$D$11,WEEKDAY(B174,2))</f>
        <v>R</v>
      </c>
      <c r="F174" s="7" t="n">
        <f aca="false">IF(B174&gt;Panel!$B$5,0,MAX(0,INDEX(Rutina!$B$5:$B$11,WEEKDAY(B174,2))*(1-MIN(1,SUMPRODUCT((Eventos!$A$5:$A$40&lt;=B174)*(Eventos!$B$5:$B$40&gt;=B174)*Eventos!$D$5:$D$40)))+SUMPRODUCT((Eventos!$A$5:$A$40&lt;=B174)*(Eventos!$B$5:$B$40&gt;=B174)*Eventos!$E$5:$E$40)))</f>
        <v>1</v>
      </c>
      <c r="G174" s="18"/>
      <c r="H174" s="7" t="str">
        <f aca="false">IF(G174="","",G174*Panel!$B$8)</f>
        <v/>
      </c>
      <c r="I174" s="18"/>
      <c r="J174" s="18"/>
      <c r="K174" s="18"/>
      <c r="L174" s="8"/>
      <c r="M174" s="17" t="str">
        <f aca="false">IF(L174="","",IF(OR(WEEKDAY(B174,2)=5,WEEKDAY(B174,2)=6),"—",IF(AND(L174&gt;=0.5,L174&lt;=Panel!$B$11),"Sí","No")))</f>
        <v/>
      </c>
      <c r="N174" s="18"/>
    </row>
    <row r="175" customFormat="false" ht="15" hidden="false" customHeight="false" outlineLevel="0" collapsed="false">
      <c r="A175" s="17" t="n">
        <f aca="false">INT((B175-Panel!$B$4)/7)+1</f>
        <v>25</v>
      </c>
      <c r="B175" s="5" t="n">
        <f aca="false">B174+1</f>
        <v>46497</v>
      </c>
      <c r="C175" s="17" t="str">
        <f aca="false">CHOOSE(WEEKDAY(B175,2),"Lun","Mar","Mié","Jue","Vie","Sáb","Dom")</f>
        <v>Mar</v>
      </c>
      <c r="D175" s="17" t="str">
        <f aca="false">INDEX(Calendario!$D$5:$D$33,A175)</f>
        <v>Todos</v>
      </c>
      <c r="E175" s="17" t="str">
        <f aca="false">INDEX(Rutina!$D$5:$D$11,WEEKDAY(B175,2))</f>
        <v>R</v>
      </c>
      <c r="F175" s="7" t="n">
        <f aca="false">IF(B175&gt;Panel!$B$5,0,MAX(0,INDEX(Rutina!$B$5:$B$11,WEEKDAY(B175,2))*(1-MIN(1,SUMPRODUCT((Eventos!$A$5:$A$40&lt;=B175)*(Eventos!$B$5:$B$40&gt;=B175)*Eventos!$D$5:$D$40)))+SUMPRODUCT((Eventos!$A$5:$A$40&lt;=B175)*(Eventos!$B$5:$B$40&gt;=B175)*Eventos!$E$5:$E$40)))</f>
        <v>1</v>
      </c>
      <c r="G175" s="18"/>
      <c r="H175" s="7" t="str">
        <f aca="false">IF(G175="","",G175*Panel!$B$8)</f>
        <v/>
      </c>
      <c r="I175" s="18"/>
      <c r="J175" s="18"/>
      <c r="K175" s="18"/>
      <c r="L175" s="8"/>
      <c r="M175" s="17" t="str">
        <f aca="false">IF(L175="","",IF(OR(WEEKDAY(B175,2)=5,WEEKDAY(B175,2)=6),"—",IF(AND(L175&gt;=0.5,L175&lt;=Panel!$B$11),"Sí","No")))</f>
        <v/>
      </c>
      <c r="N175" s="18"/>
    </row>
    <row r="176" customFormat="false" ht="15" hidden="false" customHeight="false" outlineLevel="0" collapsed="false">
      <c r="A176" s="17" t="n">
        <f aca="false">INT((B176-Panel!$B$4)/7)+1</f>
        <v>25</v>
      </c>
      <c r="B176" s="5" t="n">
        <f aca="false">B175+1</f>
        <v>46498</v>
      </c>
      <c r="C176" s="17" t="str">
        <f aca="false">CHOOSE(WEEKDAY(B176,2),"Lun","Mar","Mié","Jue","Vie","Sáb","Dom")</f>
        <v>Mié</v>
      </c>
      <c r="D176" s="17" t="str">
        <f aca="false">INDEX(Calendario!$D$5:$D$33,A176)</f>
        <v>Todos</v>
      </c>
      <c r="E176" s="17" t="str">
        <f aca="false">INDEX(Rutina!$D$5:$D$11,WEEKDAY(B176,2))</f>
        <v>Q</v>
      </c>
      <c r="F176" s="7" t="n">
        <f aca="false">IF(B176&gt;Panel!$B$5,0,MAX(0,INDEX(Rutina!$B$5:$B$11,WEEKDAY(B176,2))*(1-MIN(1,SUMPRODUCT((Eventos!$A$5:$A$40&lt;=B176)*(Eventos!$B$5:$B$40&gt;=B176)*Eventos!$D$5:$D$40)))+SUMPRODUCT((Eventos!$A$5:$A$40&lt;=B176)*(Eventos!$B$5:$B$40&gt;=B176)*Eventos!$E$5:$E$40)))</f>
        <v>1</v>
      </c>
      <c r="G176" s="18"/>
      <c r="H176" s="7" t="str">
        <f aca="false">IF(G176="","",G176*Panel!$B$8)</f>
        <v/>
      </c>
      <c r="I176" s="18"/>
      <c r="J176" s="18"/>
      <c r="K176" s="18"/>
      <c r="L176" s="8"/>
      <c r="M176" s="17" t="str">
        <f aca="false">IF(L176="","",IF(OR(WEEKDAY(B176,2)=5,WEEKDAY(B176,2)=6),"—",IF(AND(L176&gt;=0.5,L176&lt;=Panel!$B$11),"Sí","No")))</f>
        <v/>
      </c>
      <c r="N176" s="18"/>
    </row>
    <row r="177" customFormat="false" ht="15" hidden="false" customHeight="false" outlineLevel="0" collapsed="false">
      <c r="A177" s="17" t="n">
        <f aca="false">INT((B177-Panel!$B$4)/7)+1</f>
        <v>25</v>
      </c>
      <c r="B177" s="5" t="n">
        <f aca="false">B176+1</f>
        <v>46499</v>
      </c>
      <c r="C177" s="17" t="str">
        <f aca="false">CHOOSE(WEEKDAY(B177,2),"Lun","Mar","Mié","Jue","Vie","Sáb","Dom")</f>
        <v>Jue</v>
      </c>
      <c r="D177" s="17" t="str">
        <f aca="false">INDEX(Calendario!$D$5:$D$33,A177)</f>
        <v>Todos</v>
      </c>
      <c r="E177" s="17" t="str">
        <f aca="false">INDEX(Rutina!$D$5:$D$11,WEEKDAY(B177,2))</f>
        <v>Q</v>
      </c>
      <c r="F177" s="7" t="n">
        <f aca="false">IF(B177&gt;Panel!$B$5,0,MAX(0,INDEX(Rutina!$B$5:$B$11,WEEKDAY(B177,2))*(1-MIN(1,SUMPRODUCT((Eventos!$A$5:$A$40&lt;=B177)*(Eventos!$B$5:$B$40&gt;=B177)*Eventos!$D$5:$D$40)))+SUMPRODUCT((Eventos!$A$5:$A$40&lt;=B177)*(Eventos!$B$5:$B$40&gt;=B177)*Eventos!$E$5:$E$40)))</f>
        <v>1</v>
      </c>
      <c r="G177" s="18"/>
      <c r="H177" s="7" t="str">
        <f aca="false">IF(G177="","",G177*Panel!$B$8)</f>
        <v/>
      </c>
      <c r="I177" s="18"/>
      <c r="J177" s="18"/>
      <c r="K177" s="18"/>
      <c r="L177" s="8"/>
      <c r="M177" s="17" t="str">
        <f aca="false">IF(L177="","",IF(OR(WEEKDAY(B177,2)=5,WEEKDAY(B177,2)=6),"—",IF(AND(L177&gt;=0.5,L177&lt;=Panel!$B$11),"Sí","No")))</f>
        <v/>
      </c>
      <c r="N177" s="18"/>
    </row>
    <row r="178" customFormat="false" ht="15" hidden="false" customHeight="false" outlineLevel="0" collapsed="false">
      <c r="A178" s="17" t="n">
        <f aca="false">INT((B178-Panel!$B$4)/7)+1</f>
        <v>25</v>
      </c>
      <c r="B178" s="5" t="n">
        <f aca="false">B177+1</f>
        <v>46500</v>
      </c>
      <c r="C178" s="17" t="str">
        <f aca="false">CHOOSE(WEEKDAY(B178,2),"Lun","Mar","Mié","Jue","Vie","Sáb","Dom")</f>
        <v>Vie</v>
      </c>
      <c r="D178" s="17" t="str">
        <f aca="false">INDEX(Calendario!$D$5:$D$33,A178)</f>
        <v>Todos</v>
      </c>
      <c r="E178" s="17" t="str">
        <f aca="false">INDEX(Rutina!$D$5:$D$11,WEEKDAY(B178,2))</f>
        <v>L + Q</v>
      </c>
      <c r="F178" s="7" t="n">
        <f aca="false">IF(B178&gt;Panel!$B$5,0,MAX(0,INDEX(Rutina!$B$5:$B$11,WEEKDAY(B178,2))*(1-MIN(1,SUMPRODUCT((Eventos!$A$5:$A$40&lt;=B178)*(Eventos!$B$5:$B$40&gt;=B178)*Eventos!$D$5:$D$40)))+SUMPRODUCT((Eventos!$A$5:$A$40&lt;=B178)*(Eventos!$B$5:$B$40&gt;=B178)*Eventos!$E$5:$E$40)))</f>
        <v>2</v>
      </c>
      <c r="G178" s="18"/>
      <c r="H178" s="7" t="str">
        <f aca="false">IF(G178="","",G178*Panel!$B$8)</f>
        <v/>
      </c>
      <c r="I178" s="18"/>
      <c r="J178" s="18"/>
      <c r="K178" s="18"/>
      <c r="L178" s="8"/>
      <c r="M178" s="17" t="str">
        <f aca="false">IF(L178="","",IF(OR(WEEKDAY(B178,2)=5,WEEKDAY(B178,2)=6),"—",IF(AND(L178&gt;=0.5,L178&lt;=Panel!$B$11),"Sí","No")))</f>
        <v/>
      </c>
      <c r="N178" s="18"/>
    </row>
    <row r="179" customFormat="false" ht="15" hidden="false" customHeight="false" outlineLevel="0" collapsed="false">
      <c r="A179" s="17" t="n">
        <f aca="false">INT((B179-Panel!$B$4)/7)+1</f>
        <v>25</v>
      </c>
      <c r="B179" s="5" t="n">
        <f aca="false">B178+1</f>
        <v>46501</v>
      </c>
      <c r="C179" s="17" t="str">
        <f aca="false">CHOOSE(WEEKDAY(B179,2),"Lun","Mar","Mié","Jue","Vie","Sáb","Dom")</f>
        <v>Sáb</v>
      </c>
      <c r="D179" s="17" t="str">
        <f aca="false">INDEX(Calendario!$D$5:$D$33,A179)</f>
        <v>Todos</v>
      </c>
      <c r="E179" s="17" t="str">
        <f aca="false">INDEX(Rutina!$D$5:$D$11,WEEKDAY(B179,2))</f>
        <v>L + R</v>
      </c>
      <c r="F179" s="7" t="n">
        <f aca="false">IF(B179&gt;Panel!$B$5,0,MAX(0,INDEX(Rutina!$B$5:$B$11,WEEKDAY(B179,2))*(1-MIN(1,SUMPRODUCT((Eventos!$A$5:$A$40&lt;=B179)*(Eventos!$B$5:$B$40&gt;=B179)*Eventos!$D$5:$D$40)))+SUMPRODUCT((Eventos!$A$5:$A$40&lt;=B179)*(Eventos!$B$5:$B$40&gt;=B179)*Eventos!$E$5:$E$40)))</f>
        <v>2</v>
      </c>
      <c r="G179" s="18"/>
      <c r="H179" s="7" t="str">
        <f aca="false">IF(G179="","",G179*Panel!$B$8)</f>
        <v/>
      </c>
      <c r="I179" s="18"/>
      <c r="J179" s="18"/>
      <c r="K179" s="18"/>
      <c r="L179" s="8"/>
      <c r="M179" s="17" t="str">
        <f aca="false">IF(L179="","",IF(OR(WEEKDAY(B179,2)=5,WEEKDAY(B179,2)=6),"—",IF(AND(L179&gt;=0.5,L179&lt;=Panel!$B$11),"Sí","No")))</f>
        <v/>
      </c>
      <c r="N179" s="18"/>
    </row>
    <row r="180" customFormat="false" ht="15" hidden="false" customHeight="false" outlineLevel="0" collapsed="false">
      <c r="A180" s="17" t="n">
        <f aca="false">INT((B180-Panel!$B$4)/7)+1</f>
        <v>25</v>
      </c>
      <c r="B180" s="5" t="n">
        <f aca="false">B179+1</f>
        <v>46502</v>
      </c>
      <c r="C180" s="17" t="str">
        <f aca="false">CHOOSE(WEEKDAY(B180,2),"Lun","Mar","Mié","Jue","Vie","Sáb","Dom")</f>
        <v>Dom</v>
      </c>
      <c r="D180" s="17" t="str">
        <f aca="false">INDEX(Calendario!$D$5:$D$33,A180)</f>
        <v>Todos</v>
      </c>
      <c r="E180" s="17" t="str">
        <f aca="false">INDEX(Rutina!$D$5:$D$11,WEEKDAY(B180,2))</f>
        <v>V + F</v>
      </c>
      <c r="F180" s="7" t="n">
        <f aca="false">IF(B180&gt;Panel!$B$5,0,MAX(0,INDEX(Rutina!$B$5:$B$11,WEEKDAY(B180,2))*(1-MIN(1,SUMPRODUCT((Eventos!$A$5:$A$40&lt;=B180)*(Eventos!$B$5:$B$40&gt;=B180)*Eventos!$D$5:$D$40)))+SUMPRODUCT((Eventos!$A$5:$A$40&lt;=B180)*(Eventos!$B$5:$B$40&gt;=B180)*Eventos!$E$5:$E$40)))</f>
        <v>2</v>
      </c>
      <c r="G180" s="18"/>
      <c r="H180" s="7" t="str">
        <f aca="false">IF(G180="","",G180*Panel!$B$8)</f>
        <v/>
      </c>
      <c r="I180" s="18"/>
      <c r="J180" s="18"/>
      <c r="K180" s="18"/>
      <c r="L180" s="8"/>
      <c r="M180" s="17" t="str">
        <f aca="false">IF(L180="","",IF(OR(WEEKDAY(B180,2)=5,WEEKDAY(B180,2)=6),"—",IF(AND(L180&gt;=0.5,L180&lt;=Panel!$B$11),"Sí","No")))</f>
        <v/>
      </c>
      <c r="N180" s="18"/>
    </row>
    <row r="181" customFormat="false" ht="15" hidden="false" customHeight="false" outlineLevel="0" collapsed="false">
      <c r="A181" s="17" t="n">
        <f aca="false">INT((B181-Panel!$B$4)/7)+1</f>
        <v>26</v>
      </c>
      <c r="B181" s="5" t="n">
        <f aca="false">B180+1</f>
        <v>46503</v>
      </c>
      <c r="C181" s="17" t="str">
        <f aca="false">CHOOSE(WEEKDAY(B181,2),"Lun","Mar","Mié","Jue","Vie","Sáb","Dom")</f>
        <v>Lun</v>
      </c>
      <c r="D181" s="17" t="str">
        <f aca="false">INDEX(Calendario!$D$5:$D$33,A181)</f>
        <v>Todos</v>
      </c>
      <c r="E181" s="17" t="str">
        <f aca="false">INDEX(Rutina!$D$5:$D$11,WEEKDAY(B181,2))</f>
        <v>R</v>
      </c>
      <c r="F181" s="7" t="n">
        <f aca="false">IF(B181&gt;Panel!$B$5,0,MAX(0,INDEX(Rutina!$B$5:$B$11,WEEKDAY(B181,2))*(1-MIN(1,SUMPRODUCT((Eventos!$A$5:$A$40&lt;=B181)*(Eventos!$B$5:$B$40&gt;=B181)*Eventos!$D$5:$D$40)))+SUMPRODUCT((Eventos!$A$5:$A$40&lt;=B181)*(Eventos!$B$5:$B$40&gt;=B181)*Eventos!$E$5:$E$40)))</f>
        <v>1</v>
      </c>
      <c r="G181" s="18"/>
      <c r="H181" s="7" t="str">
        <f aca="false">IF(G181="","",G181*Panel!$B$8)</f>
        <v/>
      </c>
      <c r="I181" s="18"/>
      <c r="J181" s="18"/>
      <c r="K181" s="18"/>
      <c r="L181" s="8"/>
      <c r="M181" s="17" t="str">
        <f aca="false">IF(L181="","",IF(OR(WEEKDAY(B181,2)=5,WEEKDAY(B181,2)=6),"—",IF(AND(L181&gt;=0.5,L181&lt;=Panel!$B$11),"Sí","No")))</f>
        <v/>
      </c>
      <c r="N181" s="18"/>
    </row>
    <row r="182" customFormat="false" ht="15" hidden="false" customHeight="false" outlineLevel="0" collapsed="false">
      <c r="A182" s="17" t="n">
        <f aca="false">INT((B182-Panel!$B$4)/7)+1</f>
        <v>26</v>
      </c>
      <c r="B182" s="5" t="n">
        <f aca="false">B181+1</f>
        <v>46504</v>
      </c>
      <c r="C182" s="17" t="str">
        <f aca="false">CHOOSE(WEEKDAY(B182,2),"Lun","Mar","Mié","Jue","Vie","Sáb","Dom")</f>
        <v>Mar</v>
      </c>
      <c r="D182" s="17" t="str">
        <f aca="false">INDEX(Calendario!$D$5:$D$33,A182)</f>
        <v>Todos</v>
      </c>
      <c r="E182" s="17" t="str">
        <f aca="false">INDEX(Rutina!$D$5:$D$11,WEEKDAY(B182,2))</f>
        <v>R</v>
      </c>
      <c r="F182" s="7" t="n">
        <f aca="false">IF(B182&gt;Panel!$B$5,0,MAX(0,INDEX(Rutina!$B$5:$B$11,WEEKDAY(B182,2))*(1-MIN(1,SUMPRODUCT((Eventos!$A$5:$A$40&lt;=B182)*(Eventos!$B$5:$B$40&gt;=B182)*Eventos!$D$5:$D$40)))+SUMPRODUCT((Eventos!$A$5:$A$40&lt;=B182)*(Eventos!$B$5:$B$40&gt;=B182)*Eventos!$E$5:$E$40)))</f>
        <v>1</v>
      </c>
      <c r="G182" s="18"/>
      <c r="H182" s="7" t="str">
        <f aca="false">IF(G182="","",G182*Panel!$B$8)</f>
        <v/>
      </c>
      <c r="I182" s="18"/>
      <c r="J182" s="18"/>
      <c r="K182" s="18"/>
      <c r="L182" s="8"/>
      <c r="M182" s="17" t="str">
        <f aca="false">IF(L182="","",IF(OR(WEEKDAY(B182,2)=5,WEEKDAY(B182,2)=6),"—",IF(AND(L182&gt;=0.5,L182&lt;=Panel!$B$11),"Sí","No")))</f>
        <v/>
      </c>
      <c r="N182" s="18"/>
    </row>
    <row r="183" customFormat="false" ht="15" hidden="false" customHeight="false" outlineLevel="0" collapsed="false">
      <c r="A183" s="17" t="n">
        <f aca="false">INT((B183-Panel!$B$4)/7)+1</f>
        <v>26</v>
      </c>
      <c r="B183" s="5" t="n">
        <f aca="false">B182+1</f>
        <v>46505</v>
      </c>
      <c r="C183" s="17" t="str">
        <f aca="false">CHOOSE(WEEKDAY(B183,2),"Lun","Mar","Mié","Jue","Vie","Sáb","Dom")</f>
        <v>Mié</v>
      </c>
      <c r="D183" s="17" t="str">
        <f aca="false">INDEX(Calendario!$D$5:$D$33,A183)</f>
        <v>Todos</v>
      </c>
      <c r="E183" s="17" t="str">
        <f aca="false">INDEX(Rutina!$D$5:$D$11,WEEKDAY(B183,2))</f>
        <v>Q</v>
      </c>
      <c r="F183" s="7" t="n">
        <f aca="false">IF(B183&gt;Panel!$B$5,0,MAX(0,INDEX(Rutina!$B$5:$B$11,WEEKDAY(B183,2))*(1-MIN(1,SUMPRODUCT((Eventos!$A$5:$A$40&lt;=B183)*(Eventos!$B$5:$B$40&gt;=B183)*Eventos!$D$5:$D$40)))+SUMPRODUCT((Eventos!$A$5:$A$40&lt;=B183)*(Eventos!$B$5:$B$40&gt;=B183)*Eventos!$E$5:$E$40)))</f>
        <v>1</v>
      </c>
      <c r="G183" s="18"/>
      <c r="H183" s="7" t="str">
        <f aca="false">IF(G183="","",G183*Panel!$B$8)</f>
        <v/>
      </c>
      <c r="I183" s="18"/>
      <c r="J183" s="18"/>
      <c r="K183" s="18"/>
      <c r="L183" s="8"/>
      <c r="M183" s="17" t="str">
        <f aca="false">IF(L183="","",IF(OR(WEEKDAY(B183,2)=5,WEEKDAY(B183,2)=6),"—",IF(AND(L183&gt;=0.5,L183&lt;=Panel!$B$11),"Sí","No")))</f>
        <v/>
      </c>
      <c r="N183" s="18"/>
    </row>
    <row r="184" customFormat="false" ht="15" hidden="false" customHeight="false" outlineLevel="0" collapsed="false">
      <c r="A184" s="17" t="n">
        <f aca="false">INT((B184-Panel!$B$4)/7)+1</f>
        <v>26</v>
      </c>
      <c r="B184" s="5" t="n">
        <f aca="false">B183+1</f>
        <v>46506</v>
      </c>
      <c r="C184" s="17" t="str">
        <f aca="false">CHOOSE(WEEKDAY(B184,2),"Lun","Mar","Mié","Jue","Vie","Sáb","Dom")</f>
        <v>Jue</v>
      </c>
      <c r="D184" s="17" t="str">
        <f aca="false">INDEX(Calendario!$D$5:$D$33,A184)</f>
        <v>Todos</v>
      </c>
      <c r="E184" s="17" t="str">
        <f aca="false">INDEX(Rutina!$D$5:$D$11,WEEKDAY(B184,2))</f>
        <v>Q</v>
      </c>
      <c r="F184" s="7" t="n">
        <f aca="false">IF(B184&gt;Panel!$B$5,0,MAX(0,INDEX(Rutina!$B$5:$B$11,WEEKDAY(B184,2))*(1-MIN(1,SUMPRODUCT((Eventos!$A$5:$A$40&lt;=B184)*(Eventos!$B$5:$B$40&gt;=B184)*Eventos!$D$5:$D$40)))+SUMPRODUCT((Eventos!$A$5:$A$40&lt;=B184)*(Eventos!$B$5:$B$40&gt;=B184)*Eventos!$E$5:$E$40)))</f>
        <v>1</v>
      </c>
      <c r="G184" s="18"/>
      <c r="H184" s="7" t="str">
        <f aca="false">IF(G184="","",G184*Panel!$B$8)</f>
        <v/>
      </c>
      <c r="I184" s="18"/>
      <c r="J184" s="18"/>
      <c r="K184" s="18"/>
      <c r="L184" s="8"/>
      <c r="M184" s="17" t="str">
        <f aca="false">IF(L184="","",IF(OR(WEEKDAY(B184,2)=5,WEEKDAY(B184,2)=6),"—",IF(AND(L184&gt;=0.5,L184&lt;=Panel!$B$11),"Sí","No")))</f>
        <v/>
      </c>
      <c r="N184" s="18"/>
    </row>
    <row r="185" customFormat="false" ht="15" hidden="false" customHeight="false" outlineLevel="0" collapsed="false">
      <c r="A185" s="17" t="n">
        <f aca="false">INT((B185-Panel!$B$4)/7)+1</f>
        <v>26</v>
      </c>
      <c r="B185" s="5" t="n">
        <f aca="false">B184+1</f>
        <v>46507</v>
      </c>
      <c r="C185" s="17" t="str">
        <f aca="false">CHOOSE(WEEKDAY(B185,2),"Lun","Mar","Mié","Jue","Vie","Sáb","Dom")</f>
        <v>Vie</v>
      </c>
      <c r="D185" s="17" t="str">
        <f aca="false">INDEX(Calendario!$D$5:$D$33,A185)</f>
        <v>Todos</v>
      </c>
      <c r="E185" s="17" t="str">
        <f aca="false">INDEX(Rutina!$D$5:$D$11,WEEKDAY(B185,2))</f>
        <v>L + Q</v>
      </c>
      <c r="F185" s="7" t="n">
        <f aca="false">IF(B185&gt;Panel!$B$5,0,MAX(0,INDEX(Rutina!$B$5:$B$11,WEEKDAY(B185,2))*(1-MIN(1,SUMPRODUCT((Eventos!$A$5:$A$40&lt;=B185)*(Eventos!$B$5:$B$40&gt;=B185)*Eventos!$D$5:$D$40)))+SUMPRODUCT((Eventos!$A$5:$A$40&lt;=B185)*(Eventos!$B$5:$B$40&gt;=B185)*Eventos!$E$5:$E$40)))</f>
        <v>2</v>
      </c>
      <c r="G185" s="18"/>
      <c r="H185" s="7" t="str">
        <f aca="false">IF(G185="","",G185*Panel!$B$8)</f>
        <v/>
      </c>
      <c r="I185" s="18"/>
      <c r="J185" s="18"/>
      <c r="K185" s="18"/>
      <c r="L185" s="8"/>
      <c r="M185" s="17" t="str">
        <f aca="false">IF(L185="","",IF(OR(WEEKDAY(B185,2)=5,WEEKDAY(B185,2)=6),"—",IF(AND(L185&gt;=0.5,L185&lt;=Panel!$B$11),"Sí","No")))</f>
        <v/>
      </c>
      <c r="N185" s="18"/>
    </row>
    <row r="186" customFormat="false" ht="15" hidden="false" customHeight="false" outlineLevel="0" collapsed="false">
      <c r="A186" s="17" t="n">
        <f aca="false">INT((B186-Panel!$B$4)/7)+1</f>
        <v>26</v>
      </c>
      <c r="B186" s="5" t="n">
        <f aca="false">B185+1</f>
        <v>46508</v>
      </c>
      <c r="C186" s="17" t="str">
        <f aca="false">CHOOSE(WEEKDAY(B186,2),"Lun","Mar","Mié","Jue","Vie","Sáb","Dom")</f>
        <v>Sáb</v>
      </c>
      <c r="D186" s="17" t="str">
        <f aca="false">INDEX(Calendario!$D$5:$D$33,A186)</f>
        <v>Todos</v>
      </c>
      <c r="E186" s="17" t="str">
        <f aca="false">INDEX(Rutina!$D$5:$D$11,WEEKDAY(B186,2))</f>
        <v>L + R</v>
      </c>
      <c r="F186" s="7" t="n">
        <f aca="false">IF(B186&gt;Panel!$B$5,0,MAX(0,INDEX(Rutina!$B$5:$B$11,WEEKDAY(B186,2))*(1-MIN(1,SUMPRODUCT((Eventos!$A$5:$A$40&lt;=B186)*(Eventos!$B$5:$B$40&gt;=B186)*Eventos!$D$5:$D$40)))+SUMPRODUCT((Eventos!$A$5:$A$40&lt;=B186)*(Eventos!$B$5:$B$40&gt;=B186)*Eventos!$E$5:$E$40)))</f>
        <v>2</v>
      </c>
      <c r="G186" s="18"/>
      <c r="H186" s="7" t="str">
        <f aca="false">IF(G186="","",G186*Panel!$B$8)</f>
        <v/>
      </c>
      <c r="I186" s="18"/>
      <c r="J186" s="18"/>
      <c r="K186" s="18"/>
      <c r="L186" s="8"/>
      <c r="M186" s="17" t="str">
        <f aca="false">IF(L186="","",IF(OR(WEEKDAY(B186,2)=5,WEEKDAY(B186,2)=6),"—",IF(AND(L186&gt;=0.5,L186&lt;=Panel!$B$11),"Sí","No")))</f>
        <v/>
      </c>
      <c r="N186" s="18"/>
    </row>
    <row r="187" customFormat="false" ht="15" hidden="false" customHeight="false" outlineLevel="0" collapsed="false">
      <c r="A187" s="17" t="n">
        <f aca="false">INT((B187-Panel!$B$4)/7)+1</f>
        <v>26</v>
      </c>
      <c r="B187" s="5" t="n">
        <f aca="false">B186+1</f>
        <v>46509</v>
      </c>
      <c r="C187" s="17" t="str">
        <f aca="false">CHOOSE(WEEKDAY(B187,2),"Lun","Mar","Mié","Jue","Vie","Sáb","Dom")</f>
        <v>Dom</v>
      </c>
      <c r="D187" s="17" t="str">
        <f aca="false">INDEX(Calendario!$D$5:$D$33,A187)</f>
        <v>Todos</v>
      </c>
      <c r="E187" s="17" t="str">
        <f aca="false">INDEX(Rutina!$D$5:$D$11,WEEKDAY(B187,2))</f>
        <v>V + F</v>
      </c>
      <c r="F187" s="7" t="n">
        <f aca="false">IF(B187&gt;Panel!$B$5,0,MAX(0,INDEX(Rutina!$B$5:$B$11,WEEKDAY(B187,2))*(1-MIN(1,SUMPRODUCT((Eventos!$A$5:$A$40&lt;=B187)*(Eventos!$B$5:$B$40&gt;=B187)*Eventos!$D$5:$D$40)))+SUMPRODUCT((Eventos!$A$5:$A$40&lt;=B187)*(Eventos!$B$5:$B$40&gt;=B187)*Eventos!$E$5:$E$40)))</f>
        <v>2</v>
      </c>
      <c r="G187" s="18"/>
      <c r="H187" s="7" t="str">
        <f aca="false">IF(G187="","",G187*Panel!$B$8)</f>
        <v/>
      </c>
      <c r="I187" s="18"/>
      <c r="J187" s="18"/>
      <c r="K187" s="18"/>
      <c r="L187" s="8"/>
      <c r="M187" s="17" t="str">
        <f aca="false">IF(L187="","",IF(OR(WEEKDAY(B187,2)=5,WEEKDAY(B187,2)=6),"—",IF(AND(L187&gt;=0.5,L187&lt;=Panel!$B$11),"Sí","No")))</f>
        <v/>
      </c>
      <c r="N187" s="18"/>
    </row>
    <row r="188" customFormat="false" ht="15" hidden="false" customHeight="false" outlineLevel="0" collapsed="false">
      <c r="A188" s="17" t="n">
        <f aca="false">INT((B188-Panel!$B$4)/7)+1</f>
        <v>27</v>
      </c>
      <c r="B188" s="5" t="n">
        <f aca="false">B187+1</f>
        <v>46510</v>
      </c>
      <c r="C188" s="17" t="str">
        <f aca="false">CHOOSE(WEEKDAY(B188,2),"Lun","Mar","Mié","Jue","Vie","Sáb","Dom")</f>
        <v>Lun</v>
      </c>
      <c r="D188" s="17" t="str">
        <f aca="false">INDEX(Calendario!$D$5:$D$33,A188)</f>
        <v>Todos</v>
      </c>
      <c r="E188" s="17" t="str">
        <f aca="false">INDEX(Rutina!$D$5:$D$11,WEEKDAY(B188,2))</f>
        <v>R</v>
      </c>
      <c r="F188" s="7" t="n">
        <f aca="false">IF(B188&gt;Panel!$B$5,0,MAX(0,INDEX(Rutina!$B$5:$B$11,WEEKDAY(B188,2))*(1-MIN(1,SUMPRODUCT((Eventos!$A$5:$A$40&lt;=B188)*(Eventos!$B$5:$B$40&gt;=B188)*Eventos!$D$5:$D$40)))+SUMPRODUCT((Eventos!$A$5:$A$40&lt;=B188)*(Eventos!$B$5:$B$40&gt;=B188)*Eventos!$E$5:$E$40)))</f>
        <v>1</v>
      </c>
      <c r="G188" s="18"/>
      <c r="H188" s="7" t="str">
        <f aca="false">IF(G188="","",G188*Panel!$B$8)</f>
        <v/>
      </c>
      <c r="I188" s="18"/>
      <c r="J188" s="18"/>
      <c r="K188" s="18"/>
      <c r="L188" s="8"/>
      <c r="M188" s="17" t="str">
        <f aca="false">IF(L188="","",IF(OR(WEEKDAY(B188,2)=5,WEEKDAY(B188,2)=6),"—",IF(AND(L188&gt;=0.5,L188&lt;=Panel!$B$11),"Sí","No")))</f>
        <v/>
      </c>
      <c r="N188" s="18"/>
    </row>
    <row r="189" customFormat="false" ht="15" hidden="false" customHeight="false" outlineLevel="0" collapsed="false">
      <c r="A189" s="17" t="n">
        <f aca="false">INT((B189-Panel!$B$4)/7)+1</f>
        <v>27</v>
      </c>
      <c r="B189" s="5" t="n">
        <f aca="false">B188+1</f>
        <v>46511</v>
      </c>
      <c r="C189" s="17" t="str">
        <f aca="false">CHOOSE(WEEKDAY(B189,2),"Lun","Mar","Mié","Jue","Vie","Sáb","Dom")</f>
        <v>Mar</v>
      </c>
      <c r="D189" s="17" t="str">
        <f aca="false">INDEX(Calendario!$D$5:$D$33,A189)</f>
        <v>Todos</v>
      </c>
      <c r="E189" s="17" t="str">
        <f aca="false">INDEX(Rutina!$D$5:$D$11,WEEKDAY(B189,2))</f>
        <v>R</v>
      </c>
      <c r="F189" s="7" t="n">
        <f aca="false">IF(B189&gt;Panel!$B$5,0,MAX(0,INDEX(Rutina!$B$5:$B$11,WEEKDAY(B189,2))*(1-MIN(1,SUMPRODUCT((Eventos!$A$5:$A$40&lt;=B189)*(Eventos!$B$5:$B$40&gt;=B189)*Eventos!$D$5:$D$40)))+SUMPRODUCT((Eventos!$A$5:$A$40&lt;=B189)*(Eventos!$B$5:$B$40&gt;=B189)*Eventos!$E$5:$E$40)))</f>
        <v>1</v>
      </c>
      <c r="G189" s="18"/>
      <c r="H189" s="7" t="str">
        <f aca="false">IF(G189="","",G189*Panel!$B$8)</f>
        <v/>
      </c>
      <c r="I189" s="18"/>
      <c r="J189" s="18"/>
      <c r="K189" s="18"/>
      <c r="L189" s="8"/>
      <c r="M189" s="17" t="str">
        <f aca="false">IF(L189="","",IF(OR(WEEKDAY(B189,2)=5,WEEKDAY(B189,2)=6),"—",IF(AND(L189&gt;=0.5,L189&lt;=Panel!$B$11),"Sí","No")))</f>
        <v/>
      </c>
      <c r="N189" s="18"/>
    </row>
    <row r="190" customFormat="false" ht="15" hidden="false" customHeight="false" outlineLevel="0" collapsed="false">
      <c r="A190" s="17" t="n">
        <f aca="false">INT((B190-Panel!$B$4)/7)+1</f>
        <v>27</v>
      </c>
      <c r="B190" s="5" t="n">
        <f aca="false">B189+1</f>
        <v>46512</v>
      </c>
      <c r="C190" s="17" t="str">
        <f aca="false">CHOOSE(WEEKDAY(B190,2),"Lun","Mar","Mié","Jue","Vie","Sáb","Dom")</f>
        <v>Mié</v>
      </c>
      <c r="D190" s="17" t="str">
        <f aca="false">INDEX(Calendario!$D$5:$D$33,A190)</f>
        <v>Todos</v>
      </c>
      <c r="E190" s="17" t="str">
        <f aca="false">INDEX(Rutina!$D$5:$D$11,WEEKDAY(B190,2))</f>
        <v>Q</v>
      </c>
      <c r="F190" s="7" t="n">
        <f aca="false">IF(B190&gt;Panel!$B$5,0,MAX(0,INDEX(Rutina!$B$5:$B$11,WEEKDAY(B190,2))*(1-MIN(1,SUMPRODUCT((Eventos!$A$5:$A$40&lt;=B190)*(Eventos!$B$5:$B$40&gt;=B190)*Eventos!$D$5:$D$40)))+SUMPRODUCT((Eventos!$A$5:$A$40&lt;=B190)*(Eventos!$B$5:$B$40&gt;=B190)*Eventos!$E$5:$E$40)))</f>
        <v>1</v>
      </c>
      <c r="G190" s="18"/>
      <c r="H190" s="7" t="str">
        <f aca="false">IF(G190="","",G190*Panel!$B$8)</f>
        <v/>
      </c>
      <c r="I190" s="18"/>
      <c r="J190" s="18"/>
      <c r="K190" s="18"/>
      <c r="L190" s="8"/>
      <c r="M190" s="17" t="str">
        <f aca="false">IF(L190="","",IF(OR(WEEKDAY(B190,2)=5,WEEKDAY(B190,2)=6),"—",IF(AND(L190&gt;=0.5,L190&lt;=Panel!$B$11),"Sí","No")))</f>
        <v/>
      </c>
      <c r="N190" s="18"/>
    </row>
    <row r="191" customFormat="false" ht="15" hidden="false" customHeight="false" outlineLevel="0" collapsed="false">
      <c r="A191" s="17" t="n">
        <f aca="false">INT((B191-Panel!$B$4)/7)+1</f>
        <v>27</v>
      </c>
      <c r="B191" s="5" t="n">
        <f aca="false">B190+1</f>
        <v>46513</v>
      </c>
      <c r="C191" s="17" t="str">
        <f aca="false">CHOOSE(WEEKDAY(B191,2),"Lun","Mar","Mié","Jue","Vie","Sáb","Dom")</f>
        <v>Jue</v>
      </c>
      <c r="D191" s="17" t="str">
        <f aca="false">INDEX(Calendario!$D$5:$D$33,A191)</f>
        <v>Todos</v>
      </c>
      <c r="E191" s="17" t="str">
        <f aca="false">INDEX(Rutina!$D$5:$D$11,WEEKDAY(B191,2))</f>
        <v>Q</v>
      </c>
      <c r="F191" s="7" t="n">
        <f aca="false">IF(B191&gt;Panel!$B$5,0,MAX(0,INDEX(Rutina!$B$5:$B$11,WEEKDAY(B191,2))*(1-MIN(1,SUMPRODUCT((Eventos!$A$5:$A$40&lt;=B191)*(Eventos!$B$5:$B$40&gt;=B191)*Eventos!$D$5:$D$40)))+SUMPRODUCT((Eventos!$A$5:$A$40&lt;=B191)*(Eventos!$B$5:$B$40&gt;=B191)*Eventos!$E$5:$E$40)))</f>
        <v>1</v>
      </c>
      <c r="G191" s="18"/>
      <c r="H191" s="7" t="str">
        <f aca="false">IF(G191="","",G191*Panel!$B$8)</f>
        <v/>
      </c>
      <c r="I191" s="18"/>
      <c r="J191" s="18"/>
      <c r="K191" s="18"/>
      <c r="L191" s="8"/>
      <c r="M191" s="17" t="str">
        <f aca="false">IF(L191="","",IF(OR(WEEKDAY(B191,2)=5,WEEKDAY(B191,2)=6),"—",IF(AND(L191&gt;=0.5,L191&lt;=Panel!$B$11),"Sí","No")))</f>
        <v/>
      </c>
      <c r="N191" s="18"/>
    </row>
    <row r="192" customFormat="false" ht="15" hidden="false" customHeight="false" outlineLevel="0" collapsed="false">
      <c r="A192" s="17" t="n">
        <f aca="false">INT((B192-Panel!$B$4)/7)+1</f>
        <v>27</v>
      </c>
      <c r="B192" s="5" t="n">
        <f aca="false">B191+1</f>
        <v>46514</v>
      </c>
      <c r="C192" s="17" t="str">
        <f aca="false">CHOOSE(WEEKDAY(B192,2),"Lun","Mar","Mié","Jue","Vie","Sáb","Dom")</f>
        <v>Vie</v>
      </c>
      <c r="D192" s="17" t="str">
        <f aca="false">INDEX(Calendario!$D$5:$D$33,A192)</f>
        <v>Todos</v>
      </c>
      <c r="E192" s="17" t="str">
        <f aca="false">INDEX(Rutina!$D$5:$D$11,WEEKDAY(B192,2))</f>
        <v>L + Q</v>
      </c>
      <c r="F192" s="7" t="n">
        <f aca="false">IF(B192&gt;Panel!$B$5,0,MAX(0,INDEX(Rutina!$B$5:$B$11,WEEKDAY(B192,2))*(1-MIN(1,SUMPRODUCT((Eventos!$A$5:$A$40&lt;=B192)*(Eventos!$B$5:$B$40&gt;=B192)*Eventos!$D$5:$D$40)))+SUMPRODUCT((Eventos!$A$5:$A$40&lt;=B192)*(Eventos!$B$5:$B$40&gt;=B192)*Eventos!$E$5:$E$40)))</f>
        <v>2</v>
      </c>
      <c r="G192" s="18"/>
      <c r="H192" s="7" t="str">
        <f aca="false">IF(G192="","",G192*Panel!$B$8)</f>
        <v/>
      </c>
      <c r="I192" s="18"/>
      <c r="J192" s="18"/>
      <c r="K192" s="18"/>
      <c r="L192" s="8"/>
      <c r="M192" s="17" t="str">
        <f aca="false">IF(L192="","",IF(OR(WEEKDAY(B192,2)=5,WEEKDAY(B192,2)=6),"—",IF(AND(L192&gt;=0.5,L192&lt;=Panel!$B$11),"Sí","No")))</f>
        <v/>
      </c>
      <c r="N192" s="18"/>
    </row>
    <row r="193" customFormat="false" ht="15" hidden="false" customHeight="false" outlineLevel="0" collapsed="false">
      <c r="A193" s="17" t="n">
        <f aca="false">INT((B193-Panel!$B$4)/7)+1</f>
        <v>27</v>
      </c>
      <c r="B193" s="5" t="n">
        <f aca="false">B192+1</f>
        <v>46515</v>
      </c>
      <c r="C193" s="17" t="str">
        <f aca="false">CHOOSE(WEEKDAY(B193,2),"Lun","Mar","Mié","Jue","Vie","Sáb","Dom")</f>
        <v>Sáb</v>
      </c>
      <c r="D193" s="17" t="str">
        <f aca="false">INDEX(Calendario!$D$5:$D$33,A193)</f>
        <v>Todos</v>
      </c>
      <c r="E193" s="17" t="str">
        <f aca="false">INDEX(Rutina!$D$5:$D$11,WEEKDAY(B193,2))</f>
        <v>L + R</v>
      </c>
      <c r="F193" s="7" t="n">
        <f aca="false">IF(B193&gt;Panel!$B$5,0,MAX(0,INDEX(Rutina!$B$5:$B$11,WEEKDAY(B193,2))*(1-MIN(1,SUMPRODUCT((Eventos!$A$5:$A$40&lt;=B193)*(Eventos!$B$5:$B$40&gt;=B193)*Eventos!$D$5:$D$40)))+SUMPRODUCT((Eventos!$A$5:$A$40&lt;=B193)*(Eventos!$B$5:$B$40&gt;=B193)*Eventos!$E$5:$E$40)))</f>
        <v>2</v>
      </c>
      <c r="G193" s="18"/>
      <c r="H193" s="7" t="str">
        <f aca="false">IF(G193="","",G193*Panel!$B$8)</f>
        <v/>
      </c>
      <c r="I193" s="18"/>
      <c r="J193" s="18"/>
      <c r="K193" s="18"/>
      <c r="L193" s="8"/>
      <c r="M193" s="17" t="str">
        <f aca="false">IF(L193="","",IF(OR(WEEKDAY(B193,2)=5,WEEKDAY(B193,2)=6),"—",IF(AND(L193&gt;=0.5,L193&lt;=Panel!$B$11),"Sí","No")))</f>
        <v/>
      </c>
      <c r="N193" s="18"/>
    </row>
    <row r="194" customFormat="false" ht="15" hidden="false" customHeight="false" outlineLevel="0" collapsed="false">
      <c r="A194" s="17" t="n">
        <f aca="false">INT((B194-Panel!$B$4)/7)+1</f>
        <v>27</v>
      </c>
      <c r="B194" s="5" t="n">
        <f aca="false">B193+1</f>
        <v>46516</v>
      </c>
      <c r="C194" s="17" t="str">
        <f aca="false">CHOOSE(WEEKDAY(B194,2),"Lun","Mar","Mié","Jue","Vie","Sáb","Dom")</f>
        <v>Dom</v>
      </c>
      <c r="D194" s="17" t="str">
        <f aca="false">INDEX(Calendario!$D$5:$D$33,A194)</f>
        <v>Todos</v>
      </c>
      <c r="E194" s="17" t="str">
        <f aca="false">INDEX(Rutina!$D$5:$D$11,WEEKDAY(B194,2))</f>
        <v>V + F</v>
      </c>
      <c r="F194" s="7" t="n">
        <f aca="false">IF(B194&gt;Panel!$B$5,0,MAX(0,INDEX(Rutina!$B$5:$B$11,WEEKDAY(B194,2))*(1-MIN(1,SUMPRODUCT((Eventos!$A$5:$A$40&lt;=B194)*(Eventos!$B$5:$B$40&gt;=B194)*Eventos!$D$5:$D$40)))+SUMPRODUCT((Eventos!$A$5:$A$40&lt;=B194)*(Eventos!$B$5:$B$40&gt;=B194)*Eventos!$E$5:$E$40)))</f>
        <v>2</v>
      </c>
      <c r="G194" s="18"/>
      <c r="H194" s="7" t="str">
        <f aca="false">IF(G194="","",G194*Panel!$B$8)</f>
        <v/>
      </c>
      <c r="I194" s="18"/>
      <c r="J194" s="18"/>
      <c r="K194" s="18"/>
      <c r="L194" s="8"/>
      <c r="M194" s="17" t="str">
        <f aca="false">IF(L194="","",IF(OR(WEEKDAY(B194,2)=5,WEEKDAY(B194,2)=6),"—",IF(AND(L194&gt;=0.5,L194&lt;=Panel!$B$11),"Sí","No")))</f>
        <v/>
      </c>
      <c r="N194" s="18"/>
    </row>
    <row r="195" customFormat="false" ht="15" hidden="false" customHeight="false" outlineLevel="0" collapsed="false">
      <c r="A195" s="17" t="n">
        <f aca="false">INT((B195-Panel!$B$4)/7)+1</f>
        <v>28</v>
      </c>
      <c r="B195" s="5" t="n">
        <f aca="false">B194+1</f>
        <v>46517</v>
      </c>
      <c r="C195" s="17" t="str">
        <f aca="false">CHOOSE(WEEKDAY(B195,2),"Lun","Mar","Mié","Jue","Vie","Sáb","Dom")</f>
        <v>Lun</v>
      </c>
      <c r="D195" s="17" t="str">
        <f aca="false">INDEX(Calendario!$D$5:$D$33,A195)</f>
        <v>Todos</v>
      </c>
      <c r="E195" s="17" t="str">
        <f aca="false">INDEX(Rutina!$D$5:$D$11,WEEKDAY(B195,2))</f>
        <v>R</v>
      </c>
      <c r="F195" s="7" t="n">
        <f aca="false">IF(B195&gt;Panel!$B$5,0,MAX(0,INDEX(Rutina!$B$5:$B$11,WEEKDAY(B195,2))*(1-MIN(1,SUMPRODUCT((Eventos!$A$5:$A$40&lt;=B195)*(Eventos!$B$5:$B$40&gt;=B195)*Eventos!$D$5:$D$40)))+SUMPRODUCT((Eventos!$A$5:$A$40&lt;=B195)*(Eventos!$B$5:$B$40&gt;=B195)*Eventos!$E$5:$E$40)))</f>
        <v>1</v>
      </c>
      <c r="G195" s="18"/>
      <c r="H195" s="7" t="str">
        <f aca="false">IF(G195="","",G195*Panel!$B$8)</f>
        <v/>
      </c>
      <c r="I195" s="18"/>
      <c r="J195" s="18"/>
      <c r="K195" s="18"/>
      <c r="L195" s="8"/>
      <c r="M195" s="17" t="str">
        <f aca="false">IF(L195="","",IF(OR(WEEKDAY(B195,2)=5,WEEKDAY(B195,2)=6),"—",IF(AND(L195&gt;=0.5,L195&lt;=Panel!$B$11),"Sí","No")))</f>
        <v/>
      </c>
      <c r="N195" s="18"/>
    </row>
    <row r="196" customFormat="false" ht="15" hidden="false" customHeight="false" outlineLevel="0" collapsed="false">
      <c r="A196" s="17" t="n">
        <f aca="false">INT((B196-Panel!$B$4)/7)+1</f>
        <v>28</v>
      </c>
      <c r="B196" s="5" t="n">
        <f aca="false">B195+1</f>
        <v>46518</v>
      </c>
      <c r="C196" s="17" t="str">
        <f aca="false">CHOOSE(WEEKDAY(B196,2),"Lun","Mar","Mié","Jue","Vie","Sáb","Dom")</f>
        <v>Mar</v>
      </c>
      <c r="D196" s="17" t="str">
        <f aca="false">INDEX(Calendario!$D$5:$D$33,A196)</f>
        <v>Todos</v>
      </c>
      <c r="E196" s="17" t="str">
        <f aca="false">INDEX(Rutina!$D$5:$D$11,WEEKDAY(B196,2))</f>
        <v>R</v>
      </c>
      <c r="F196" s="7" t="n">
        <f aca="false">IF(B196&gt;Panel!$B$5,0,MAX(0,INDEX(Rutina!$B$5:$B$11,WEEKDAY(B196,2))*(1-MIN(1,SUMPRODUCT((Eventos!$A$5:$A$40&lt;=B196)*(Eventos!$B$5:$B$40&gt;=B196)*Eventos!$D$5:$D$40)))+SUMPRODUCT((Eventos!$A$5:$A$40&lt;=B196)*(Eventos!$B$5:$B$40&gt;=B196)*Eventos!$E$5:$E$40)))</f>
        <v>1</v>
      </c>
      <c r="G196" s="18"/>
      <c r="H196" s="7" t="str">
        <f aca="false">IF(G196="","",G196*Panel!$B$8)</f>
        <v/>
      </c>
      <c r="I196" s="18"/>
      <c r="J196" s="18"/>
      <c r="K196" s="18"/>
      <c r="L196" s="8"/>
      <c r="M196" s="17" t="str">
        <f aca="false">IF(L196="","",IF(OR(WEEKDAY(B196,2)=5,WEEKDAY(B196,2)=6),"—",IF(AND(L196&gt;=0.5,L196&lt;=Panel!$B$11),"Sí","No")))</f>
        <v/>
      </c>
      <c r="N196" s="18"/>
    </row>
    <row r="197" customFormat="false" ht="15" hidden="false" customHeight="false" outlineLevel="0" collapsed="false">
      <c r="A197" s="17" t="n">
        <f aca="false">INT((B197-Panel!$B$4)/7)+1</f>
        <v>28</v>
      </c>
      <c r="B197" s="5" t="n">
        <f aca="false">B196+1</f>
        <v>46519</v>
      </c>
      <c r="C197" s="17" t="str">
        <f aca="false">CHOOSE(WEEKDAY(B197,2),"Lun","Mar","Mié","Jue","Vie","Sáb","Dom")</f>
        <v>Mié</v>
      </c>
      <c r="D197" s="17" t="str">
        <f aca="false">INDEX(Calendario!$D$5:$D$33,A197)</f>
        <v>Todos</v>
      </c>
      <c r="E197" s="17" t="str">
        <f aca="false">INDEX(Rutina!$D$5:$D$11,WEEKDAY(B197,2))</f>
        <v>Q</v>
      </c>
      <c r="F197" s="7" t="n">
        <f aca="false">IF(B197&gt;Panel!$B$5,0,MAX(0,INDEX(Rutina!$B$5:$B$11,WEEKDAY(B197,2))*(1-MIN(1,SUMPRODUCT((Eventos!$A$5:$A$40&lt;=B197)*(Eventos!$B$5:$B$40&gt;=B197)*Eventos!$D$5:$D$40)))+SUMPRODUCT((Eventos!$A$5:$A$40&lt;=B197)*(Eventos!$B$5:$B$40&gt;=B197)*Eventos!$E$5:$E$40)))</f>
        <v>1</v>
      </c>
      <c r="G197" s="18"/>
      <c r="H197" s="7" t="str">
        <f aca="false">IF(G197="","",G197*Panel!$B$8)</f>
        <v/>
      </c>
      <c r="I197" s="18"/>
      <c r="J197" s="18"/>
      <c r="K197" s="18"/>
      <c r="L197" s="8"/>
      <c r="M197" s="17" t="str">
        <f aca="false">IF(L197="","",IF(OR(WEEKDAY(B197,2)=5,WEEKDAY(B197,2)=6),"—",IF(AND(L197&gt;=0.5,L197&lt;=Panel!$B$11),"Sí","No")))</f>
        <v/>
      </c>
      <c r="N197" s="18"/>
    </row>
    <row r="198" customFormat="false" ht="15" hidden="false" customHeight="false" outlineLevel="0" collapsed="false">
      <c r="A198" s="17" t="n">
        <f aca="false">INT((B198-Panel!$B$4)/7)+1</f>
        <v>28</v>
      </c>
      <c r="B198" s="5" t="n">
        <f aca="false">B197+1</f>
        <v>46520</v>
      </c>
      <c r="C198" s="17" t="str">
        <f aca="false">CHOOSE(WEEKDAY(B198,2),"Lun","Mar","Mié","Jue","Vie","Sáb","Dom")</f>
        <v>Jue</v>
      </c>
      <c r="D198" s="17" t="str">
        <f aca="false">INDEX(Calendario!$D$5:$D$33,A198)</f>
        <v>Todos</v>
      </c>
      <c r="E198" s="17" t="str">
        <f aca="false">INDEX(Rutina!$D$5:$D$11,WEEKDAY(B198,2))</f>
        <v>Q</v>
      </c>
      <c r="F198" s="7" t="n">
        <f aca="false">IF(B198&gt;Panel!$B$5,0,MAX(0,INDEX(Rutina!$B$5:$B$11,WEEKDAY(B198,2))*(1-MIN(1,SUMPRODUCT((Eventos!$A$5:$A$40&lt;=B198)*(Eventos!$B$5:$B$40&gt;=B198)*Eventos!$D$5:$D$40)))+SUMPRODUCT((Eventos!$A$5:$A$40&lt;=B198)*(Eventos!$B$5:$B$40&gt;=B198)*Eventos!$E$5:$E$40)))</f>
        <v>1</v>
      </c>
      <c r="G198" s="18"/>
      <c r="H198" s="7" t="str">
        <f aca="false">IF(G198="","",G198*Panel!$B$8)</f>
        <v/>
      </c>
      <c r="I198" s="18"/>
      <c r="J198" s="18"/>
      <c r="K198" s="18"/>
      <c r="L198" s="8"/>
      <c r="M198" s="17" t="str">
        <f aca="false">IF(L198="","",IF(OR(WEEKDAY(B198,2)=5,WEEKDAY(B198,2)=6),"—",IF(AND(L198&gt;=0.5,L198&lt;=Panel!$B$11),"Sí","No")))</f>
        <v/>
      </c>
      <c r="N198" s="18"/>
    </row>
    <row r="199" customFormat="false" ht="15" hidden="false" customHeight="false" outlineLevel="0" collapsed="false">
      <c r="A199" s="17" t="n">
        <f aca="false">INT((B199-Panel!$B$4)/7)+1</f>
        <v>28</v>
      </c>
      <c r="B199" s="5" t="n">
        <f aca="false">B198+1</f>
        <v>46521</v>
      </c>
      <c r="C199" s="17" t="str">
        <f aca="false">CHOOSE(WEEKDAY(B199,2),"Lun","Mar","Mié","Jue","Vie","Sáb","Dom")</f>
        <v>Vie</v>
      </c>
      <c r="D199" s="17" t="str">
        <f aca="false">INDEX(Calendario!$D$5:$D$33,A199)</f>
        <v>Todos</v>
      </c>
      <c r="E199" s="17" t="str">
        <f aca="false">INDEX(Rutina!$D$5:$D$11,WEEKDAY(B199,2))</f>
        <v>L + Q</v>
      </c>
      <c r="F199" s="7" t="n">
        <f aca="false">IF(B199&gt;Panel!$B$5,0,MAX(0,INDEX(Rutina!$B$5:$B$11,WEEKDAY(B199,2))*(1-MIN(1,SUMPRODUCT((Eventos!$A$5:$A$40&lt;=B199)*(Eventos!$B$5:$B$40&gt;=B199)*Eventos!$D$5:$D$40)))+SUMPRODUCT((Eventos!$A$5:$A$40&lt;=B199)*(Eventos!$B$5:$B$40&gt;=B199)*Eventos!$E$5:$E$40)))</f>
        <v>0</v>
      </c>
      <c r="G199" s="18"/>
      <c r="H199" s="7" t="str">
        <f aca="false">IF(G199="","",G199*Panel!$B$8)</f>
        <v/>
      </c>
      <c r="I199" s="18"/>
      <c r="J199" s="18"/>
      <c r="K199" s="18"/>
      <c r="L199" s="8"/>
      <c r="M199" s="17" t="str">
        <f aca="false">IF(L199="","",IF(OR(WEEKDAY(B199,2)=5,WEEKDAY(B199,2)=6),"—",IF(AND(L199&gt;=0.5,L199&lt;=Panel!$B$11),"Sí","No")))</f>
        <v/>
      </c>
      <c r="N199" s="18"/>
    </row>
    <row r="200" customFormat="false" ht="15" hidden="false" customHeight="false" outlineLevel="0" collapsed="false">
      <c r="A200" s="17" t="n">
        <f aca="false">INT((B200-Panel!$B$4)/7)+1</f>
        <v>28</v>
      </c>
      <c r="B200" s="5" t="n">
        <f aca="false">B199+1</f>
        <v>46522</v>
      </c>
      <c r="C200" s="17" t="str">
        <f aca="false">CHOOSE(WEEKDAY(B200,2),"Lun","Mar","Mié","Jue","Vie","Sáb","Dom")</f>
        <v>Sáb</v>
      </c>
      <c r="D200" s="17" t="str">
        <f aca="false">INDEX(Calendario!$D$5:$D$33,A200)</f>
        <v>Todos</v>
      </c>
      <c r="E200" s="17" t="str">
        <f aca="false">INDEX(Rutina!$D$5:$D$11,WEEKDAY(B200,2))</f>
        <v>L + R</v>
      </c>
      <c r="F200" s="7" t="n">
        <f aca="false">IF(B200&gt;Panel!$B$5,0,MAX(0,INDEX(Rutina!$B$5:$B$11,WEEKDAY(B200,2))*(1-MIN(1,SUMPRODUCT((Eventos!$A$5:$A$40&lt;=B200)*(Eventos!$B$5:$B$40&gt;=B200)*Eventos!$D$5:$D$40)))+SUMPRODUCT((Eventos!$A$5:$A$40&lt;=B200)*(Eventos!$B$5:$B$40&gt;=B200)*Eventos!$E$5:$E$40)))</f>
        <v>0</v>
      </c>
      <c r="G200" s="18"/>
      <c r="H200" s="7" t="str">
        <f aca="false">IF(G200="","",G200*Panel!$B$8)</f>
        <v/>
      </c>
      <c r="I200" s="18"/>
      <c r="J200" s="18"/>
      <c r="K200" s="18"/>
      <c r="L200" s="8"/>
      <c r="M200" s="17" t="str">
        <f aca="false">IF(L200="","",IF(OR(WEEKDAY(B200,2)=5,WEEKDAY(B200,2)=6),"—",IF(AND(L200&gt;=0.5,L200&lt;=Panel!$B$11),"Sí","No")))</f>
        <v/>
      </c>
      <c r="N200" s="18"/>
    </row>
    <row r="201" customFormat="false" ht="15" hidden="false" customHeight="false" outlineLevel="0" collapsed="false">
      <c r="A201" s="17" t="n">
        <f aca="false">INT((B201-Panel!$B$4)/7)+1</f>
        <v>28</v>
      </c>
      <c r="B201" s="5" t="n">
        <f aca="false">B200+1</f>
        <v>46523</v>
      </c>
      <c r="C201" s="17" t="str">
        <f aca="false">CHOOSE(WEEKDAY(B201,2),"Lun","Mar","Mié","Jue","Vie","Sáb","Dom")</f>
        <v>Dom</v>
      </c>
      <c r="D201" s="17" t="str">
        <f aca="false">INDEX(Calendario!$D$5:$D$33,A201)</f>
        <v>Todos</v>
      </c>
      <c r="E201" s="17" t="str">
        <f aca="false">INDEX(Rutina!$D$5:$D$11,WEEKDAY(B201,2))</f>
        <v>V + F</v>
      </c>
      <c r="F201" s="7" t="n">
        <f aca="false">IF(B201&gt;Panel!$B$5,0,MAX(0,INDEX(Rutina!$B$5:$B$11,WEEKDAY(B201,2))*(1-MIN(1,SUMPRODUCT((Eventos!$A$5:$A$40&lt;=B201)*(Eventos!$B$5:$B$40&gt;=B201)*Eventos!$D$5:$D$40)))+SUMPRODUCT((Eventos!$A$5:$A$40&lt;=B201)*(Eventos!$B$5:$B$40&gt;=B201)*Eventos!$E$5:$E$40)))</f>
        <v>0</v>
      </c>
      <c r="G201" s="18"/>
      <c r="H201" s="7" t="str">
        <f aca="false">IF(G201="","",G201*Panel!$B$8)</f>
        <v/>
      </c>
      <c r="I201" s="18"/>
      <c r="J201" s="18"/>
      <c r="K201" s="18"/>
      <c r="L201" s="8"/>
      <c r="M201" s="17" t="str">
        <f aca="false">IF(L201="","",IF(OR(WEEKDAY(B201,2)=5,WEEKDAY(B201,2)=6),"—",IF(AND(L201&gt;=0.5,L201&lt;=Panel!$B$11),"Sí","No")))</f>
        <v/>
      </c>
      <c r="N201" s="18"/>
    </row>
    <row r="202" customFormat="false" ht="15" hidden="false" customHeight="false" outlineLevel="0" collapsed="false">
      <c r="A202" s="17" t="n">
        <f aca="false">INT((B202-Panel!$B$4)/7)+1</f>
        <v>29</v>
      </c>
      <c r="B202" s="5" t="n">
        <f aca="false">B201+1</f>
        <v>46524</v>
      </c>
      <c r="C202" s="17" t="str">
        <f aca="false">CHOOSE(WEEKDAY(B202,2),"Lun","Mar","Mié","Jue","Vie","Sáb","Dom")</f>
        <v>Lun</v>
      </c>
      <c r="D202" s="17" t="str">
        <f aca="false">INDEX(Calendario!$D$5:$D$33,A202)</f>
        <v>Después del examen</v>
      </c>
      <c r="E202" s="17" t="str">
        <f aca="false">INDEX(Rutina!$D$5:$D$11,WEEKDAY(B202,2))</f>
        <v>R</v>
      </c>
      <c r="F202" s="7" t="n">
        <f aca="false">IF(B202&gt;Panel!$B$5,0,MAX(0,INDEX(Rutina!$B$5:$B$11,WEEKDAY(B202,2))*(1-MIN(1,SUMPRODUCT((Eventos!$A$5:$A$40&lt;=B202)*(Eventos!$B$5:$B$40&gt;=B202)*Eventos!$D$5:$D$40)))+SUMPRODUCT((Eventos!$A$5:$A$40&lt;=B202)*(Eventos!$B$5:$B$40&gt;=B202)*Eventos!$E$5:$E$40)))</f>
        <v>0</v>
      </c>
      <c r="G202" s="18"/>
      <c r="H202" s="7" t="str">
        <f aca="false">IF(G202="","",G202*Panel!$B$8)</f>
        <v/>
      </c>
      <c r="I202" s="18"/>
      <c r="J202" s="18"/>
      <c r="K202" s="18"/>
      <c r="L202" s="8"/>
      <c r="M202" s="17" t="str">
        <f aca="false">IF(L202="","",IF(OR(WEEKDAY(B202,2)=5,WEEKDAY(B202,2)=6),"—",IF(AND(L202&gt;=0.5,L202&lt;=Panel!$B$11),"Sí","No")))</f>
        <v/>
      </c>
      <c r="N202" s="18"/>
    </row>
    <row r="203" customFormat="false" ht="15" hidden="false" customHeight="false" outlineLevel="0" collapsed="false">
      <c r="A203" s="17" t="n">
        <f aca="false">INT((B203-Panel!$B$4)/7)+1</f>
        <v>29</v>
      </c>
      <c r="B203" s="5" t="n">
        <f aca="false">B202+1</f>
        <v>46525</v>
      </c>
      <c r="C203" s="17" t="str">
        <f aca="false">CHOOSE(WEEKDAY(B203,2),"Lun","Mar","Mié","Jue","Vie","Sáb","Dom")</f>
        <v>Mar</v>
      </c>
      <c r="D203" s="17" t="str">
        <f aca="false">INDEX(Calendario!$D$5:$D$33,A203)</f>
        <v>Después del examen</v>
      </c>
      <c r="E203" s="17" t="str">
        <f aca="false">INDEX(Rutina!$D$5:$D$11,WEEKDAY(B203,2))</f>
        <v>R</v>
      </c>
      <c r="F203" s="7" t="n">
        <f aca="false">IF(B203&gt;Panel!$B$5,0,MAX(0,INDEX(Rutina!$B$5:$B$11,WEEKDAY(B203,2))*(1-MIN(1,SUMPRODUCT((Eventos!$A$5:$A$40&lt;=B203)*(Eventos!$B$5:$B$40&gt;=B203)*Eventos!$D$5:$D$40)))+SUMPRODUCT((Eventos!$A$5:$A$40&lt;=B203)*(Eventos!$B$5:$B$40&gt;=B203)*Eventos!$E$5:$E$40)))</f>
        <v>0</v>
      </c>
      <c r="G203" s="18"/>
      <c r="H203" s="7" t="str">
        <f aca="false">IF(G203="","",G203*Panel!$B$8)</f>
        <v/>
      </c>
      <c r="I203" s="18"/>
      <c r="J203" s="18"/>
      <c r="K203" s="18"/>
      <c r="L203" s="8"/>
      <c r="M203" s="17" t="str">
        <f aca="false">IF(L203="","",IF(OR(WEEKDAY(B203,2)=5,WEEKDAY(B203,2)=6),"—",IF(AND(L203&gt;=0.5,L203&lt;=Panel!$B$11),"Sí","No")))</f>
        <v/>
      </c>
      <c r="N203" s="18"/>
    </row>
    <row r="204" customFormat="false" ht="15" hidden="false" customHeight="false" outlineLevel="0" collapsed="false">
      <c r="A204" s="17" t="n">
        <f aca="false">INT((B204-Panel!$B$4)/7)+1</f>
        <v>29</v>
      </c>
      <c r="B204" s="5" t="n">
        <f aca="false">B203+1</f>
        <v>46526</v>
      </c>
      <c r="C204" s="17" t="str">
        <f aca="false">CHOOSE(WEEKDAY(B204,2),"Lun","Mar","Mié","Jue","Vie","Sáb","Dom")</f>
        <v>Mié</v>
      </c>
      <c r="D204" s="17" t="str">
        <f aca="false">INDEX(Calendario!$D$5:$D$33,A204)</f>
        <v>Después del examen</v>
      </c>
      <c r="E204" s="17" t="str">
        <f aca="false">INDEX(Rutina!$D$5:$D$11,WEEKDAY(B204,2))</f>
        <v>Q</v>
      </c>
      <c r="F204" s="7" t="n">
        <f aca="false">IF(B204&gt;Panel!$B$5,0,MAX(0,INDEX(Rutina!$B$5:$B$11,WEEKDAY(B204,2))*(1-MIN(1,SUMPRODUCT((Eventos!$A$5:$A$40&lt;=B204)*(Eventos!$B$5:$B$40&gt;=B204)*Eventos!$D$5:$D$40)))+SUMPRODUCT((Eventos!$A$5:$A$40&lt;=B204)*(Eventos!$B$5:$B$40&gt;=B204)*Eventos!$E$5:$E$40)))</f>
        <v>0</v>
      </c>
      <c r="G204" s="18"/>
      <c r="H204" s="7" t="str">
        <f aca="false">IF(G204="","",G204*Panel!$B$8)</f>
        <v/>
      </c>
      <c r="I204" s="18"/>
      <c r="J204" s="18"/>
      <c r="K204" s="18"/>
      <c r="L204" s="8"/>
      <c r="M204" s="17" t="str">
        <f aca="false">IF(L204="","",IF(OR(WEEKDAY(B204,2)=5,WEEKDAY(B204,2)=6),"—",IF(AND(L204&gt;=0.5,L204&lt;=Panel!$B$11),"Sí","No")))</f>
        <v/>
      </c>
      <c r="N204" s="18"/>
    </row>
    <row r="205" customFormat="false" ht="15" hidden="false" customHeight="false" outlineLevel="0" collapsed="false">
      <c r="A205" s="17" t="n">
        <f aca="false">INT((B205-Panel!$B$4)/7)+1</f>
        <v>29</v>
      </c>
      <c r="B205" s="5" t="n">
        <f aca="false">B204+1</f>
        <v>46527</v>
      </c>
      <c r="C205" s="17" t="str">
        <f aca="false">CHOOSE(WEEKDAY(B205,2),"Lun","Mar","Mié","Jue","Vie","Sáb","Dom")</f>
        <v>Jue</v>
      </c>
      <c r="D205" s="17" t="str">
        <f aca="false">INDEX(Calendario!$D$5:$D$33,A205)</f>
        <v>Después del examen</v>
      </c>
      <c r="E205" s="17" t="str">
        <f aca="false">INDEX(Rutina!$D$5:$D$11,WEEKDAY(B205,2))</f>
        <v>Q</v>
      </c>
      <c r="F205" s="7" t="n">
        <f aca="false">IF(B205&gt;Panel!$B$5,0,MAX(0,INDEX(Rutina!$B$5:$B$11,WEEKDAY(B205,2))*(1-MIN(1,SUMPRODUCT((Eventos!$A$5:$A$40&lt;=B205)*(Eventos!$B$5:$B$40&gt;=B205)*Eventos!$D$5:$D$40)))+SUMPRODUCT((Eventos!$A$5:$A$40&lt;=B205)*(Eventos!$B$5:$B$40&gt;=B205)*Eventos!$E$5:$E$40)))</f>
        <v>0</v>
      </c>
      <c r="G205" s="18"/>
      <c r="H205" s="7" t="str">
        <f aca="false">IF(G205="","",G205*Panel!$B$8)</f>
        <v/>
      </c>
      <c r="I205" s="18"/>
      <c r="J205" s="18"/>
      <c r="K205" s="18"/>
      <c r="L205" s="8"/>
      <c r="M205" s="17" t="str">
        <f aca="false">IF(L205="","",IF(OR(WEEKDAY(B205,2)=5,WEEKDAY(B205,2)=6),"—",IF(AND(L205&gt;=0.5,L205&lt;=Panel!$B$11),"Sí","No")))</f>
        <v/>
      </c>
      <c r="N205" s="18"/>
    </row>
    <row r="206" customFormat="false" ht="15" hidden="false" customHeight="false" outlineLevel="0" collapsed="false">
      <c r="A206" s="17" t="n">
        <f aca="false">INT((B206-Panel!$B$4)/7)+1</f>
        <v>29</v>
      </c>
      <c r="B206" s="5" t="n">
        <f aca="false">B205+1</f>
        <v>46528</v>
      </c>
      <c r="C206" s="17" t="str">
        <f aca="false">CHOOSE(WEEKDAY(B206,2),"Lun","Mar","Mié","Jue","Vie","Sáb","Dom")</f>
        <v>Vie</v>
      </c>
      <c r="D206" s="17" t="str">
        <f aca="false">INDEX(Calendario!$D$5:$D$33,A206)</f>
        <v>Después del examen</v>
      </c>
      <c r="E206" s="17" t="str">
        <f aca="false">INDEX(Rutina!$D$5:$D$11,WEEKDAY(B206,2))</f>
        <v>L + Q</v>
      </c>
      <c r="F206" s="7" t="n">
        <f aca="false">IF(B206&gt;Panel!$B$5,0,MAX(0,INDEX(Rutina!$B$5:$B$11,WEEKDAY(B206,2))*(1-MIN(1,SUMPRODUCT((Eventos!$A$5:$A$40&lt;=B206)*(Eventos!$B$5:$B$40&gt;=B206)*Eventos!$D$5:$D$40)))+SUMPRODUCT((Eventos!$A$5:$A$40&lt;=B206)*(Eventos!$B$5:$B$40&gt;=B206)*Eventos!$E$5:$E$40)))</f>
        <v>0</v>
      </c>
      <c r="G206" s="18"/>
      <c r="H206" s="7" t="str">
        <f aca="false">IF(G206="","",G206*Panel!$B$8)</f>
        <v/>
      </c>
      <c r="I206" s="18"/>
      <c r="J206" s="18"/>
      <c r="K206" s="18"/>
      <c r="L206" s="8"/>
      <c r="M206" s="17" t="str">
        <f aca="false">IF(L206="","",IF(OR(WEEKDAY(B206,2)=5,WEEKDAY(B206,2)=6),"—",IF(AND(L206&gt;=0.5,L206&lt;=Panel!$B$11),"Sí","No")))</f>
        <v/>
      </c>
      <c r="N206" s="18"/>
    </row>
    <row r="207" customFormat="false" ht="15" hidden="false" customHeight="false" outlineLevel="0" collapsed="false">
      <c r="A207" s="17" t="n">
        <f aca="false">INT((B207-Panel!$B$4)/7)+1</f>
        <v>29</v>
      </c>
      <c r="B207" s="5" t="n">
        <f aca="false">B206+1</f>
        <v>46529</v>
      </c>
      <c r="C207" s="17" t="str">
        <f aca="false">CHOOSE(WEEKDAY(B207,2),"Lun","Mar","Mié","Jue","Vie","Sáb","Dom")</f>
        <v>Sáb</v>
      </c>
      <c r="D207" s="17" t="str">
        <f aca="false">INDEX(Calendario!$D$5:$D$33,A207)</f>
        <v>Después del examen</v>
      </c>
      <c r="E207" s="17" t="str">
        <f aca="false">INDEX(Rutina!$D$5:$D$11,WEEKDAY(B207,2))</f>
        <v>L + R</v>
      </c>
      <c r="F207" s="7" t="n">
        <f aca="false">IF(B207&gt;Panel!$B$5,0,MAX(0,INDEX(Rutina!$B$5:$B$11,WEEKDAY(B207,2))*(1-MIN(1,SUMPRODUCT((Eventos!$A$5:$A$40&lt;=B207)*(Eventos!$B$5:$B$40&gt;=B207)*Eventos!$D$5:$D$40)))+SUMPRODUCT((Eventos!$A$5:$A$40&lt;=B207)*(Eventos!$B$5:$B$40&gt;=B207)*Eventos!$E$5:$E$40)))</f>
        <v>0</v>
      </c>
      <c r="G207" s="18"/>
      <c r="H207" s="7" t="str">
        <f aca="false">IF(G207="","",G207*Panel!$B$8)</f>
        <v/>
      </c>
      <c r="I207" s="18"/>
      <c r="J207" s="18"/>
      <c r="K207" s="18"/>
      <c r="L207" s="8"/>
      <c r="M207" s="17" t="str">
        <f aca="false">IF(L207="","",IF(OR(WEEKDAY(B207,2)=5,WEEKDAY(B207,2)=6),"—",IF(AND(L207&gt;=0.5,L207&lt;=Panel!$B$11),"Sí","No")))</f>
        <v/>
      </c>
      <c r="N207" s="18"/>
    </row>
    <row r="208" customFormat="false" ht="15" hidden="false" customHeight="false" outlineLevel="0" collapsed="false">
      <c r="A208" s="17" t="n">
        <f aca="false">INT((B208-Panel!$B$4)/7)+1</f>
        <v>29</v>
      </c>
      <c r="B208" s="5" t="n">
        <f aca="false">B207+1</f>
        <v>46530</v>
      </c>
      <c r="C208" s="17" t="str">
        <f aca="false">CHOOSE(WEEKDAY(B208,2),"Lun","Mar","Mié","Jue","Vie","Sáb","Dom")</f>
        <v>Dom</v>
      </c>
      <c r="D208" s="17" t="str">
        <f aca="false">INDEX(Calendario!$D$5:$D$33,A208)</f>
        <v>Después del examen</v>
      </c>
      <c r="E208" s="17" t="str">
        <f aca="false">INDEX(Rutina!$D$5:$D$11,WEEKDAY(B208,2))</f>
        <v>V + F</v>
      </c>
      <c r="F208" s="7" t="n">
        <f aca="false">IF(B208&gt;Panel!$B$5,0,MAX(0,INDEX(Rutina!$B$5:$B$11,WEEKDAY(B208,2))*(1-MIN(1,SUMPRODUCT((Eventos!$A$5:$A$40&lt;=B208)*(Eventos!$B$5:$B$40&gt;=B208)*Eventos!$D$5:$D$40)))+SUMPRODUCT((Eventos!$A$5:$A$40&lt;=B208)*(Eventos!$B$5:$B$40&gt;=B208)*Eventos!$E$5:$E$40)))</f>
        <v>0</v>
      </c>
      <c r="G208" s="18"/>
      <c r="H208" s="7" t="str">
        <f aca="false">IF(G208="","",G208*Panel!$B$8)</f>
        <v/>
      </c>
      <c r="I208" s="18"/>
      <c r="J208" s="18"/>
      <c r="K208" s="18"/>
      <c r="L208" s="8"/>
      <c r="M208" s="17" t="str">
        <f aca="false">IF(L208="","",IF(OR(WEEKDAY(B208,2)=5,WEEKDAY(B208,2)=6),"—",IF(AND(L208&gt;=0.5,L208&lt;=Panel!$B$11),"Sí","No")))</f>
        <v/>
      </c>
      <c r="N208" s="18"/>
    </row>
  </sheetData>
  <conditionalFormatting sqref="A6:N208">
    <cfRule type="expression" priority="2" aboveAverage="0" equalAverage="0" bottom="0" percent="0" rank="0" text="" dxfId="3">
      <formula>$B6=TODAY()</formula>
    </cfRule>
    <cfRule type="expression" priority="3" aboveAverage="0" equalAverage="0" bottom="0" percent="0" rank="0" text="" dxfId="4">
      <formula>$F6=0</formula>
    </cfRule>
  </conditionalFormatting>
  <dataValidations count="1">
    <dataValidation allowBlank="true" error="Entre 0 y 3" errorStyle="stop" errorTitle="Bloques" operator="between" showDropDown="false" showErrorMessage="false" showInputMessage="false" sqref="G6:G208" type="decimal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62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23.85" hidden="false" customHeight="false" outlineLevel="0" collapsed="false">
      <c r="A4" s="15" t="s">
        <v>39</v>
      </c>
      <c r="B4" s="15" t="s">
        <v>61</v>
      </c>
      <c r="C4" s="15" t="s">
        <v>62</v>
      </c>
      <c r="D4" s="15" t="s">
        <v>63</v>
      </c>
      <c r="E4" s="15" t="s">
        <v>64</v>
      </c>
      <c r="F4" s="15" t="s">
        <v>65</v>
      </c>
      <c r="G4" s="15" t="s">
        <v>43</v>
      </c>
      <c r="H4" s="15" t="s">
        <v>44</v>
      </c>
      <c r="I4" s="15" t="s">
        <v>66</v>
      </c>
      <c r="J4" s="15" t="s">
        <v>67</v>
      </c>
      <c r="K4" s="15" t="s">
        <v>68</v>
      </c>
      <c r="L4" s="15" t="s">
        <v>27</v>
      </c>
      <c r="M4" s="15" t="s">
        <v>51</v>
      </c>
    </row>
    <row r="5" customFormat="false" ht="23.85" hidden="false" customHeight="false" outlineLevel="0" collapsed="false">
      <c r="A5" s="22" t="n">
        <v>1</v>
      </c>
      <c r="B5" s="5" t="n">
        <f aca="false">Panel!$B$4+7*(A5-1)</f>
        <v>46328</v>
      </c>
      <c r="C5" s="5" t="n">
        <f aca="false">B5+6</f>
        <v>46334</v>
      </c>
      <c r="D5" s="18" t="s">
        <v>69</v>
      </c>
      <c r="E5" s="18" t="s">
        <v>70</v>
      </c>
      <c r="F5" s="18" t="s">
        <v>71</v>
      </c>
      <c r="G5" s="7" t="n">
        <f aca="false">SUMIFS(Diario!$F$6:$F$208,Diario!$A$6:$A$208,A5)</f>
        <v>10</v>
      </c>
      <c r="H5" s="23" t="n">
        <f aca="false">SUMIFS(Diario!$G$6:$G$208,Diario!$A$6:$A$208,A5)</f>
        <v>0</v>
      </c>
      <c r="I5" s="7" t="str">
        <f aca="false">IF(B5&gt;Panel!$B$6,"",H5-G5)</f>
        <v/>
      </c>
      <c r="J5" s="24" t="str">
        <f aca="false">IF(OR(B5&gt;Panel!$B$6,G5=0),"",H5/G5)</f>
        <v/>
      </c>
      <c r="K5" s="7" t="str">
        <f aca="false">IF(C5&lt;Panel!$B$6,MAX(0,SUMIFS(Diario!$F$6:$F$208,Diario!$A$6:$A$208,"&lt;="&amp;A5)-SUMIFS(Diario!$G$6:$G$208,Diario!$A$6:$A$208,"&lt;="&amp;A5)),"")</f>
        <v/>
      </c>
      <c r="L5" s="17" t="str">
        <f aca="false">IF(B5&gt;Panel!$B$6,"Futura",IF(C5&gt;=Panel!$B$6,"En curso",IF(K5&gt;Panel!$B$10,"Correr calendario",IF(H5&gt;=G5,"Cumplida",IF(H5&gt;=Panel!$B$9,"Parcial","Bajo mínimo")))))</f>
        <v>Futura</v>
      </c>
      <c r="M5" s="25" t="s">
        <v>72</v>
      </c>
    </row>
    <row r="6" customFormat="false" ht="15" hidden="false" customHeight="false" outlineLevel="0" collapsed="false">
      <c r="A6" s="22" t="n">
        <v>2</v>
      </c>
      <c r="B6" s="5" t="n">
        <f aca="false">Panel!$B$4+7*(A6-1)</f>
        <v>46335</v>
      </c>
      <c r="C6" s="5" t="n">
        <f aca="false">B6+6</f>
        <v>46341</v>
      </c>
      <c r="D6" s="18" t="s">
        <v>69</v>
      </c>
      <c r="E6" s="18" t="s">
        <v>73</v>
      </c>
      <c r="F6" s="18" t="s">
        <v>71</v>
      </c>
      <c r="G6" s="7" t="n">
        <f aca="false">SUMIFS(Diario!$F$6:$F$208,Diario!$A$6:$A$208,A6)</f>
        <v>10</v>
      </c>
      <c r="H6" s="23" t="n">
        <f aca="false">SUMIFS(Diario!$G$6:$G$208,Diario!$A$6:$A$208,A6)</f>
        <v>0</v>
      </c>
      <c r="I6" s="7" t="str">
        <f aca="false">IF(B6&gt;Panel!$B$6,"",H6-G6)</f>
        <v/>
      </c>
      <c r="J6" s="24" t="str">
        <f aca="false">IF(OR(B6&gt;Panel!$B$6,G6=0),"",H6/G6)</f>
        <v/>
      </c>
      <c r="K6" s="7" t="str">
        <f aca="false">IF(C6&lt;Panel!$B$6,MAX(0,SUMIFS(Diario!$F$6:$F$208,Diario!$A$6:$A$208,"&lt;="&amp;A6)-SUMIFS(Diario!$G$6:$G$208,Diario!$A$6:$A$208,"&lt;="&amp;A6)),"")</f>
        <v/>
      </c>
      <c r="L6" s="17" t="str">
        <f aca="false">IF(B6&gt;Panel!$B$6,"Futura",IF(C6&gt;=Panel!$B$6,"En curso",IF(K6&gt;Panel!$B$10,"Correr calendario",IF(H6&gt;=G6,"Cumplida",IF(H6&gt;=Panel!$B$9,"Parcial","Bajo mínimo")))))</f>
        <v>Futura</v>
      </c>
      <c r="M6" s="25"/>
    </row>
    <row r="7" customFormat="false" ht="23.85" hidden="false" customHeight="false" outlineLevel="0" collapsed="false">
      <c r="A7" s="22" t="n">
        <v>3</v>
      </c>
      <c r="B7" s="5" t="n">
        <f aca="false">Panel!$B$4+7*(A7-1)</f>
        <v>46342</v>
      </c>
      <c r="C7" s="5" t="n">
        <f aca="false">B7+6</f>
        <v>46348</v>
      </c>
      <c r="D7" s="18" t="s">
        <v>74</v>
      </c>
      <c r="E7" s="18" t="s">
        <v>73</v>
      </c>
      <c r="F7" s="18" t="s">
        <v>71</v>
      </c>
      <c r="G7" s="7" t="n">
        <f aca="false">SUMIFS(Diario!$F$6:$F$208,Diario!$A$6:$A$208,A7)</f>
        <v>10</v>
      </c>
      <c r="H7" s="23" t="n">
        <f aca="false">SUMIFS(Diario!$G$6:$G$208,Diario!$A$6:$A$208,A7)</f>
        <v>0</v>
      </c>
      <c r="I7" s="7" t="str">
        <f aca="false">IF(B7&gt;Panel!$B$6,"",H7-G7)</f>
        <v/>
      </c>
      <c r="J7" s="24" t="str">
        <f aca="false">IF(OR(B7&gt;Panel!$B$6,G7=0),"",H7/G7)</f>
        <v/>
      </c>
      <c r="K7" s="7" t="str">
        <f aca="false">IF(C7&lt;Panel!$B$6,MAX(0,SUMIFS(Diario!$F$6:$F$208,Diario!$A$6:$A$208,"&lt;="&amp;A7)-SUMIFS(Diario!$G$6:$G$208,Diario!$A$6:$A$208,"&lt;="&amp;A7)),"")</f>
        <v/>
      </c>
      <c r="L7" s="17" t="str">
        <f aca="false">IF(B7&gt;Panel!$B$6,"Futura",IF(C7&gt;=Panel!$B$6,"En curso",IF(K7&gt;Panel!$B$10,"Correr calendario",IF(H7&gt;=G7,"Cumplida",IF(H7&gt;=Panel!$B$9,"Parcial","Bajo mínimo")))))</f>
        <v>Futura</v>
      </c>
      <c r="M7" s="25" t="s">
        <v>75</v>
      </c>
    </row>
    <row r="8" customFormat="false" ht="15" hidden="false" customHeight="false" outlineLevel="0" collapsed="false">
      <c r="A8" s="22" t="n">
        <v>4</v>
      </c>
      <c r="B8" s="5" t="n">
        <f aca="false">Panel!$B$4+7*(A8-1)</f>
        <v>46349</v>
      </c>
      <c r="C8" s="5" t="n">
        <f aca="false">B8+6</f>
        <v>46355</v>
      </c>
      <c r="D8" s="18" t="s">
        <v>74</v>
      </c>
      <c r="E8" s="18" t="s">
        <v>73</v>
      </c>
      <c r="F8" s="18" t="s">
        <v>71</v>
      </c>
      <c r="G8" s="7" t="n">
        <f aca="false">SUMIFS(Diario!$F$6:$F$208,Diario!$A$6:$A$208,A8)</f>
        <v>10</v>
      </c>
      <c r="H8" s="23" t="n">
        <f aca="false">SUMIFS(Diario!$G$6:$G$208,Diario!$A$6:$A$208,A8)</f>
        <v>0</v>
      </c>
      <c r="I8" s="7" t="str">
        <f aca="false">IF(B8&gt;Panel!$B$6,"",H8-G8)</f>
        <v/>
      </c>
      <c r="J8" s="24" t="str">
        <f aca="false">IF(OR(B8&gt;Panel!$B$6,G8=0),"",H8/G8)</f>
        <v/>
      </c>
      <c r="K8" s="7" t="str">
        <f aca="false">IF(C8&lt;Panel!$B$6,MAX(0,SUMIFS(Diario!$F$6:$F$208,Diario!$A$6:$A$208,"&lt;="&amp;A8)-SUMIFS(Diario!$G$6:$G$208,Diario!$A$6:$A$208,"&lt;="&amp;A8)),"")</f>
        <v/>
      </c>
      <c r="L8" s="17" t="str">
        <f aca="false">IF(B8&gt;Panel!$B$6,"Futura",IF(C8&gt;=Panel!$B$6,"En curso",IF(K8&gt;Panel!$B$10,"Correr calendario",IF(H8&gt;=G8,"Cumplida",IF(H8&gt;=Panel!$B$9,"Parcial","Bajo mínimo")))))</f>
        <v>Futura</v>
      </c>
      <c r="M8" s="25"/>
    </row>
    <row r="9" customFormat="false" ht="15" hidden="false" customHeight="false" outlineLevel="0" collapsed="false">
      <c r="A9" s="22" t="n">
        <v>5</v>
      </c>
      <c r="B9" s="5" t="n">
        <f aca="false">Panel!$B$4+7*(A9-1)</f>
        <v>46356</v>
      </c>
      <c r="C9" s="5" t="n">
        <f aca="false">B9+6</f>
        <v>46362</v>
      </c>
      <c r="D9" s="18" t="s">
        <v>76</v>
      </c>
      <c r="E9" s="18" t="s">
        <v>73</v>
      </c>
      <c r="F9" s="18" t="s">
        <v>71</v>
      </c>
      <c r="G9" s="7" t="n">
        <f aca="false">SUMIFS(Diario!$F$6:$F$208,Diario!$A$6:$A$208,A9)</f>
        <v>10</v>
      </c>
      <c r="H9" s="23" t="n">
        <f aca="false">SUMIFS(Diario!$G$6:$G$208,Diario!$A$6:$A$208,A9)</f>
        <v>0</v>
      </c>
      <c r="I9" s="7" t="str">
        <f aca="false">IF(B9&gt;Panel!$B$6,"",H9-G9)</f>
        <v/>
      </c>
      <c r="J9" s="24" t="str">
        <f aca="false">IF(OR(B9&gt;Panel!$B$6,G9=0),"",H9/G9)</f>
        <v/>
      </c>
      <c r="K9" s="7" t="str">
        <f aca="false">IF(C9&lt;Panel!$B$6,MAX(0,SUMIFS(Diario!$F$6:$F$208,Diario!$A$6:$A$208,"&lt;="&amp;A9)-SUMIFS(Diario!$G$6:$G$208,Diario!$A$6:$A$208,"&lt;="&amp;A9)),"")</f>
        <v/>
      </c>
      <c r="L9" s="17" t="str">
        <f aca="false">IF(B9&gt;Panel!$B$6,"Futura",IF(C9&gt;=Panel!$B$6,"En curso",IF(K9&gt;Panel!$B$10,"Correr calendario",IF(H9&gt;=G9,"Cumplida",IF(H9&gt;=Panel!$B$9,"Parcial","Bajo mínimo")))))</f>
        <v>Futura</v>
      </c>
      <c r="M9" s="25" t="s">
        <v>77</v>
      </c>
    </row>
    <row r="10" customFormat="false" ht="15" hidden="false" customHeight="false" outlineLevel="0" collapsed="false">
      <c r="A10" s="22" t="n">
        <v>6</v>
      </c>
      <c r="B10" s="5" t="n">
        <f aca="false">Panel!$B$4+7*(A10-1)</f>
        <v>46363</v>
      </c>
      <c r="C10" s="5" t="n">
        <f aca="false">B10+6</f>
        <v>46369</v>
      </c>
      <c r="D10" s="18" t="s">
        <v>76</v>
      </c>
      <c r="E10" s="18" t="s">
        <v>73</v>
      </c>
      <c r="F10" s="18" t="s">
        <v>71</v>
      </c>
      <c r="G10" s="7" t="n">
        <f aca="false">SUMIFS(Diario!$F$6:$F$208,Diario!$A$6:$A$208,A10)</f>
        <v>11</v>
      </c>
      <c r="H10" s="23" t="n">
        <f aca="false">SUMIFS(Diario!$G$6:$G$208,Diario!$A$6:$A$208,A10)</f>
        <v>0</v>
      </c>
      <c r="I10" s="7" t="str">
        <f aca="false">IF(B10&gt;Panel!$B$6,"",H10-G10)</f>
        <v/>
      </c>
      <c r="J10" s="24" t="str">
        <f aca="false">IF(OR(B10&gt;Panel!$B$6,G10=0),"",H10/G10)</f>
        <v/>
      </c>
      <c r="K10" s="7" t="str">
        <f aca="false">IF(C10&lt;Panel!$B$6,MAX(0,SUMIFS(Diario!$F$6:$F$208,Diario!$A$6:$A$208,"&lt;="&amp;A10)-SUMIFS(Diario!$G$6:$G$208,Diario!$A$6:$A$208,"&lt;="&amp;A10)),"")</f>
        <v/>
      </c>
      <c r="L10" s="17" t="str">
        <f aca="false">IF(B10&gt;Panel!$B$6,"Futura",IF(C10&gt;=Panel!$B$6,"En curso",IF(K10&gt;Panel!$B$10,"Correr calendario",IF(H10&gt;=G10,"Cumplida",IF(H10&gt;=Panel!$B$9,"Parcial","Bajo mínimo")))))</f>
        <v>Futura</v>
      </c>
      <c r="M10" s="25" t="s">
        <v>78</v>
      </c>
    </row>
    <row r="11" customFormat="false" ht="15" hidden="false" customHeight="false" outlineLevel="0" collapsed="false">
      <c r="A11" s="22" t="n">
        <v>7</v>
      </c>
      <c r="B11" s="5" t="n">
        <f aca="false">Panel!$B$4+7*(A11-1)</f>
        <v>46370</v>
      </c>
      <c r="C11" s="5" t="n">
        <f aca="false">B11+6</f>
        <v>46376</v>
      </c>
      <c r="D11" s="18" t="s">
        <v>76</v>
      </c>
      <c r="E11" s="18" t="s">
        <v>73</v>
      </c>
      <c r="F11" s="18" t="s">
        <v>71</v>
      </c>
      <c r="G11" s="7" t="n">
        <f aca="false">SUMIFS(Diario!$F$6:$F$208,Diario!$A$6:$A$208,A11)</f>
        <v>10</v>
      </c>
      <c r="H11" s="23" t="n">
        <f aca="false">SUMIFS(Diario!$G$6:$G$208,Diario!$A$6:$A$208,A11)</f>
        <v>0</v>
      </c>
      <c r="I11" s="7" t="str">
        <f aca="false">IF(B11&gt;Panel!$B$6,"",H11-G11)</f>
        <v/>
      </c>
      <c r="J11" s="24" t="str">
        <f aca="false">IF(OR(B11&gt;Panel!$B$6,G11=0),"",H11/G11)</f>
        <v/>
      </c>
      <c r="K11" s="7" t="str">
        <f aca="false">IF(C11&lt;Panel!$B$6,MAX(0,SUMIFS(Diario!$F$6:$F$208,Diario!$A$6:$A$208,"&lt;="&amp;A11)-SUMIFS(Diario!$G$6:$G$208,Diario!$A$6:$A$208,"&lt;="&amp;A11)),"")</f>
        <v/>
      </c>
      <c r="L11" s="17" t="str">
        <f aca="false">IF(B11&gt;Panel!$B$6,"Futura",IF(C11&gt;=Panel!$B$6,"En curso",IF(K11&gt;Panel!$B$10,"Correr calendario",IF(H11&gt;=G11,"Cumplida",IF(H11&gt;=Panel!$B$9,"Parcial","Bajo mínimo")))))</f>
        <v>Futura</v>
      </c>
      <c r="M11" s="25"/>
    </row>
    <row r="12" customFormat="false" ht="15" hidden="false" customHeight="false" outlineLevel="0" collapsed="false">
      <c r="A12" s="22" t="n">
        <v>8</v>
      </c>
      <c r="B12" s="5" t="n">
        <f aca="false">Panel!$B$4+7*(A12-1)</f>
        <v>46377</v>
      </c>
      <c r="C12" s="5" t="n">
        <f aca="false">B12+6</f>
        <v>46383</v>
      </c>
      <c r="D12" s="18" t="s">
        <v>79</v>
      </c>
      <c r="E12" s="18" t="s">
        <v>73</v>
      </c>
      <c r="F12" s="18" t="s">
        <v>71</v>
      </c>
      <c r="G12" s="7" t="n">
        <f aca="false">SUMIFS(Diario!$F$6:$F$208,Diario!$A$6:$A$208,A12)</f>
        <v>7</v>
      </c>
      <c r="H12" s="23" t="n">
        <f aca="false">SUMIFS(Diario!$G$6:$G$208,Diario!$A$6:$A$208,A12)</f>
        <v>0</v>
      </c>
      <c r="I12" s="7" t="str">
        <f aca="false">IF(B12&gt;Panel!$B$6,"",H12-G12)</f>
        <v/>
      </c>
      <c r="J12" s="24" t="str">
        <f aca="false">IF(OR(B12&gt;Panel!$B$6,G12=0),"",H12/G12)</f>
        <v/>
      </c>
      <c r="K12" s="7" t="str">
        <f aca="false">IF(C12&lt;Panel!$B$6,MAX(0,SUMIFS(Diario!$F$6:$F$208,Diario!$A$6:$A$208,"&lt;="&amp;A12)-SUMIFS(Diario!$G$6:$G$208,Diario!$A$6:$A$208,"&lt;="&amp;A12)),"")</f>
        <v/>
      </c>
      <c r="L12" s="17" t="str">
        <f aca="false">IF(B12&gt;Panel!$B$6,"Futura",IF(C12&gt;=Panel!$B$6,"En curso",IF(K12&gt;Panel!$B$10,"Correr calendario",IF(H12&gt;=G12,"Cumplida",IF(H12&gt;=Panel!$B$9,"Parcial","Bajo mínimo")))))</f>
        <v>Futura</v>
      </c>
      <c r="M12" s="25" t="s">
        <v>80</v>
      </c>
    </row>
    <row r="13" customFormat="false" ht="15" hidden="false" customHeight="false" outlineLevel="0" collapsed="false">
      <c r="A13" s="22" t="n">
        <v>9</v>
      </c>
      <c r="B13" s="5" t="n">
        <f aca="false">Panel!$B$4+7*(A13-1)</f>
        <v>46384</v>
      </c>
      <c r="C13" s="5" t="n">
        <f aca="false">B13+6</f>
        <v>46390</v>
      </c>
      <c r="D13" s="18" t="s">
        <v>79</v>
      </c>
      <c r="E13" s="18" t="s">
        <v>73</v>
      </c>
      <c r="F13" s="18" t="s">
        <v>81</v>
      </c>
      <c r="G13" s="7" t="n">
        <f aca="false">SUMIFS(Diario!$F$6:$F$208,Diario!$A$6:$A$208,A13)</f>
        <v>8</v>
      </c>
      <c r="H13" s="23" t="n">
        <f aca="false">SUMIFS(Diario!$G$6:$G$208,Diario!$A$6:$A$208,A13)</f>
        <v>0</v>
      </c>
      <c r="I13" s="7" t="str">
        <f aca="false">IF(B13&gt;Panel!$B$6,"",H13-G13)</f>
        <v/>
      </c>
      <c r="J13" s="24" t="str">
        <f aca="false">IF(OR(B13&gt;Panel!$B$6,G13=0),"",H13/G13)</f>
        <v/>
      </c>
      <c r="K13" s="7" t="str">
        <f aca="false">IF(C13&lt;Panel!$B$6,MAX(0,SUMIFS(Diario!$F$6:$F$208,Diario!$A$6:$A$208,"&lt;="&amp;A13)-SUMIFS(Diario!$G$6:$G$208,Diario!$A$6:$A$208,"&lt;="&amp;A13)),"")</f>
        <v/>
      </c>
      <c r="L13" s="17" t="str">
        <f aca="false">IF(B13&gt;Panel!$B$6,"Futura",IF(C13&gt;=Panel!$B$6,"En curso",IF(K13&gt;Panel!$B$10,"Correr calendario",IF(H13&gt;=G13,"Cumplida",IF(H13&gt;=Panel!$B$9,"Parcial","Bajo mínimo")))))</f>
        <v>Futura</v>
      </c>
      <c r="M13" s="25" t="s">
        <v>82</v>
      </c>
    </row>
    <row r="14" customFormat="false" ht="15" hidden="false" customHeight="false" outlineLevel="0" collapsed="false">
      <c r="A14" s="22" t="n">
        <v>10</v>
      </c>
      <c r="B14" s="5" t="n">
        <f aca="false">Panel!$B$4+7*(A14-1)</f>
        <v>46391</v>
      </c>
      <c r="C14" s="5" t="n">
        <f aca="false">B14+6</f>
        <v>46397</v>
      </c>
      <c r="D14" s="18" t="s">
        <v>83</v>
      </c>
      <c r="E14" s="18" t="s">
        <v>73</v>
      </c>
      <c r="F14" s="18" t="s">
        <v>71</v>
      </c>
      <c r="G14" s="7" t="n">
        <f aca="false">SUMIFS(Diario!$F$6:$F$208,Diario!$A$6:$A$208,A14)</f>
        <v>10</v>
      </c>
      <c r="H14" s="23" t="n">
        <f aca="false">SUMIFS(Diario!$G$6:$G$208,Diario!$A$6:$A$208,A14)</f>
        <v>0</v>
      </c>
      <c r="I14" s="7" t="str">
        <f aca="false">IF(B14&gt;Panel!$B$6,"",H14-G14)</f>
        <v/>
      </c>
      <c r="J14" s="24" t="str">
        <f aca="false">IF(OR(B14&gt;Panel!$B$6,G14=0),"",H14/G14)</f>
        <v/>
      </c>
      <c r="K14" s="7" t="str">
        <f aca="false">IF(C14&lt;Panel!$B$6,MAX(0,SUMIFS(Diario!$F$6:$F$208,Diario!$A$6:$A$208,"&lt;="&amp;A14)-SUMIFS(Diario!$G$6:$G$208,Diario!$A$6:$A$208,"&lt;="&amp;A14)),"")</f>
        <v/>
      </c>
      <c r="L14" s="17" t="str">
        <f aca="false">IF(B14&gt;Panel!$B$6,"Futura",IF(C14&gt;=Panel!$B$6,"En curso",IF(K14&gt;Panel!$B$10,"Correr calendario",IF(H14&gt;=G14,"Cumplida",IF(H14&gt;=Panel!$B$9,"Parcial","Bajo mínimo")))))</f>
        <v>Futura</v>
      </c>
      <c r="M14" s="25"/>
    </row>
    <row r="15" customFormat="false" ht="15" hidden="false" customHeight="false" outlineLevel="0" collapsed="false">
      <c r="A15" s="22" t="n">
        <v>11</v>
      </c>
      <c r="B15" s="5" t="n">
        <f aca="false">Panel!$B$4+7*(A15-1)</f>
        <v>46398</v>
      </c>
      <c r="C15" s="5" t="n">
        <f aca="false">B15+6</f>
        <v>46404</v>
      </c>
      <c r="D15" s="18" t="s">
        <v>83</v>
      </c>
      <c r="E15" s="18" t="s">
        <v>73</v>
      </c>
      <c r="F15" s="18" t="s">
        <v>71</v>
      </c>
      <c r="G15" s="7" t="n">
        <f aca="false">SUMIFS(Diario!$F$6:$F$208,Diario!$A$6:$A$208,A15)</f>
        <v>10</v>
      </c>
      <c r="H15" s="23" t="n">
        <f aca="false">SUMIFS(Diario!$G$6:$G$208,Diario!$A$6:$A$208,A15)</f>
        <v>0</v>
      </c>
      <c r="I15" s="7" t="str">
        <f aca="false">IF(B15&gt;Panel!$B$6,"",H15-G15)</f>
        <v/>
      </c>
      <c r="J15" s="24" t="str">
        <f aca="false">IF(OR(B15&gt;Panel!$B$6,G15=0),"",H15/G15)</f>
        <v/>
      </c>
      <c r="K15" s="7" t="str">
        <f aca="false">IF(C15&lt;Panel!$B$6,MAX(0,SUMIFS(Diario!$F$6:$F$208,Diario!$A$6:$A$208,"&lt;="&amp;A15)-SUMIFS(Diario!$G$6:$G$208,Diario!$A$6:$A$208,"&lt;="&amp;A15)),"")</f>
        <v/>
      </c>
      <c r="L15" s="17" t="str">
        <f aca="false">IF(B15&gt;Panel!$B$6,"Futura",IF(C15&gt;=Panel!$B$6,"En curso",IF(K15&gt;Panel!$B$10,"Correr calendario",IF(H15&gt;=G15,"Cumplida",IF(H15&gt;=Panel!$B$9,"Parcial","Bajo mínimo")))))</f>
        <v>Futura</v>
      </c>
      <c r="M15" s="25"/>
    </row>
    <row r="16" customFormat="false" ht="15" hidden="false" customHeight="false" outlineLevel="0" collapsed="false">
      <c r="A16" s="22" t="n">
        <v>12</v>
      </c>
      <c r="B16" s="5" t="n">
        <f aca="false">Panel!$B$4+7*(A16-1)</f>
        <v>46405</v>
      </c>
      <c r="C16" s="5" t="n">
        <f aca="false">B16+6</f>
        <v>46411</v>
      </c>
      <c r="D16" s="18" t="s">
        <v>83</v>
      </c>
      <c r="E16" s="18" t="s">
        <v>84</v>
      </c>
      <c r="F16" s="18" t="s">
        <v>81</v>
      </c>
      <c r="G16" s="7" t="n">
        <f aca="false">SUMIFS(Diario!$F$6:$F$208,Diario!$A$6:$A$208,A16)</f>
        <v>10</v>
      </c>
      <c r="H16" s="23" t="n">
        <f aca="false">SUMIFS(Diario!$G$6:$G$208,Diario!$A$6:$A$208,A16)</f>
        <v>0</v>
      </c>
      <c r="I16" s="7" t="str">
        <f aca="false">IF(B16&gt;Panel!$B$6,"",H16-G16)</f>
        <v/>
      </c>
      <c r="J16" s="24" t="str">
        <f aca="false">IF(OR(B16&gt;Panel!$B$6,G16=0),"",H16/G16)</f>
        <v/>
      </c>
      <c r="K16" s="7" t="str">
        <f aca="false">IF(C16&lt;Panel!$B$6,MAX(0,SUMIFS(Diario!$F$6:$F$208,Diario!$A$6:$A$208,"&lt;="&amp;A16)-SUMIFS(Diario!$G$6:$G$208,Diario!$A$6:$A$208,"&lt;="&amp;A16)),"")</f>
        <v/>
      </c>
      <c r="L16" s="17" t="str">
        <f aca="false">IF(B16&gt;Panel!$B$6,"Futura",IF(C16&gt;=Panel!$B$6,"En curso",IF(K16&gt;Panel!$B$10,"Correr calendario",IF(H16&gt;=G16,"Cumplida",IF(H16&gt;=Panel!$B$9,"Parcial","Bajo mínimo")))))</f>
        <v>Futura</v>
      </c>
      <c r="M16" s="25" t="s">
        <v>85</v>
      </c>
    </row>
    <row r="17" customFormat="false" ht="15" hidden="false" customHeight="false" outlineLevel="0" collapsed="false">
      <c r="A17" s="22" t="n">
        <v>13</v>
      </c>
      <c r="B17" s="5" t="n">
        <f aca="false">Panel!$B$4+7*(A17-1)</f>
        <v>46412</v>
      </c>
      <c r="C17" s="5" t="n">
        <f aca="false">B17+6</f>
        <v>46418</v>
      </c>
      <c r="D17" s="18" t="s">
        <v>86</v>
      </c>
      <c r="E17" s="18" t="s">
        <v>73</v>
      </c>
      <c r="F17" s="18" t="s">
        <v>71</v>
      </c>
      <c r="G17" s="7" t="n">
        <f aca="false">SUMIFS(Diario!$F$6:$F$208,Diario!$A$6:$A$208,A17)</f>
        <v>10</v>
      </c>
      <c r="H17" s="23" t="n">
        <f aca="false">SUMIFS(Diario!$G$6:$G$208,Diario!$A$6:$A$208,A17)</f>
        <v>0</v>
      </c>
      <c r="I17" s="7" t="str">
        <f aca="false">IF(B17&gt;Panel!$B$6,"",H17-G17)</f>
        <v/>
      </c>
      <c r="J17" s="24" t="str">
        <f aca="false">IF(OR(B17&gt;Panel!$B$6,G17=0),"",H17/G17)</f>
        <v/>
      </c>
      <c r="K17" s="7" t="str">
        <f aca="false">IF(C17&lt;Panel!$B$6,MAX(0,SUMIFS(Diario!$F$6:$F$208,Diario!$A$6:$A$208,"&lt;="&amp;A17)-SUMIFS(Diario!$G$6:$G$208,Diario!$A$6:$A$208,"&lt;="&amp;A17)),"")</f>
        <v/>
      </c>
      <c r="L17" s="17" t="str">
        <f aca="false">IF(B17&gt;Panel!$B$6,"Futura",IF(C17&gt;=Panel!$B$6,"En curso",IF(K17&gt;Panel!$B$10,"Correr calendario",IF(H17&gt;=G17,"Cumplida",IF(H17&gt;=Panel!$B$9,"Parcial","Bajo mínimo")))))</f>
        <v>Futura</v>
      </c>
      <c r="M17" s="25"/>
    </row>
    <row r="18" customFormat="false" ht="15" hidden="false" customHeight="false" outlineLevel="0" collapsed="false">
      <c r="A18" s="22" t="n">
        <v>14</v>
      </c>
      <c r="B18" s="5" t="n">
        <f aca="false">Panel!$B$4+7*(A18-1)</f>
        <v>46419</v>
      </c>
      <c r="C18" s="5" t="n">
        <f aca="false">B18+6</f>
        <v>46425</v>
      </c>
      <c r="D18" s="18" t="s">
        <v>86</v>
      </c>
      <c r="E18" s="18" t="s">
        <v>73</v>
      </c>
      <c r="F18" s="18" t="s">
        <v>71</v>
      </c>
      <c r="G18" s="7" t="n">
        <f aca="false">SUMIFS(Diario!$F$6:$F$208,Diario!$A$6:$A$208,A18)</f>
        <v>10</v>
      </c>
      <c r="H18" s="23" t="n">
        <f aca="false">SUMIFS(Diario!$G$6:$G$208,Diario!$A$6:$A$208,A18)</f>
        <v>0</v>
      </c>
      <c r="I18" s="7" t="str">
        <f aca="false">IF(B18&gt;Panel!$B$6,"",H18-G18)</f>
        <v/>
      </c>
      <c r="J18" s="24" t="str">
        <f aca="false">IF(OR(B18&gt;Panel!$B$6,G18=0),"",H18/G18)</f>
        <v/>
      </c>
      <c r="K18" s="7" t="str">
        <f aca="false">IF(C18&lt;Panel!$B$6,MAX(0,SUMIFS(Diario!$F$6:$F$208,Diario!$A$6:$A$208,"&lt;="&amp;A18)-SUMIFS(Diario!$G$6:$G$208,Diario!$A$6:$A$208,"&lt;="&amp;A18)),"")</f>
        <v/>
      </c>
      <c r="L18" s="17" t="str">
        <f aca="false">IF(B18&gt;Panel!$B$6,"Futura",IF(C18&gt;=Panel!$B$6,"En curso",IF(K18&gt;Panel!$B$10,"Correr calendario",IF(H18&gt;=G18,"Cumplida",IF(H18&gt;=Panel!$B$9,"Parcial","Bajo mínimo")))))</f>
        <v>Futura</v>
      </c>
      <c r="M18" s="25"/>
    </row>
    <row r="19" customFormat="false" ht="15" hidden="false" customHeight="false" outlineLevel="0" collapsed="false">
      <c r="A19" s="22" t="n">
        <v>15</v>
      </c>
      <c r="B19" s="5" t="n">
        <f aca="false">Panel!$B$4+7*(A19-1)</f>
        <v>46426</v>
      </c>
      <c r="C19" s="5" t="n">
        <f aca="false">B19+6</f>
        <v>46432</v>
      </c>
      <c r="D19" s="18" t="s">
        <v>86</v>
      </c>
      <c r="E19" s="18" t="s">
        <v>73</v>
      </c>
      <c r="F19" s="18" t="s">
        <v>71</v>
      </c>
      <c r="G19" s="7" t="n">
        <f aca="false">SUMIFS(Diario!$F$6:$F$208,Diario!$A$6:$A$208,A19)</f>
        <v>4</v>
      </c>
      <c r="H19" s="23" t="n">
        <f aca="false">SUMIFS(Diario!$G$6:$G$208,Diario!$A$6:$A$208,A19)</f>
        <v>0</v>
      </c>
      <c r="I19" s="7" t="str">
        <f aca="false">IF(B19&gt;Panel!$B$6,"",H19-G19)</f>
        <v/>
      </c>
      <c r="J19" s="24" t="str">
        <f aca="false">IF(OR(B19&gt;Panel!$B$6,G19=0),"",H19/G19)</f>
        <v/>
      </c>
      <c r="K19" s="7" t="str">
        <f aca="false">IF(C19&lt;Panel!$B$6,MAX(0,SUMIFS(Diario!$F$6:$F$208,Diario!$A$6:$A$208,"&lt;="&amp;A19)-SUMIFS(Diario!$G$6:$G$208,Diario!$A$6:$A$208,"&lt;="&amp;A19)),"")</f>
        <v/>
      </c>
      <c r="L19" s="17" t="str">
        <f aca="false">IF(B19&gt;Panel!$B$6,"Futura",IF(C19&gt;=Panel!$B$6,"En curso",IF(K19&gt;Panel!$B$10,"Correr calendario",IF(H19&gt;=G19,"Cumplida",IF(H19&gt;=Panel!$B$9,"Parcial","Bajo mínimo")))))</f>
        <v>Futura</v>
      </c>
      <c r="M19" s="25" t="s">
        <v>87</v>
      </c>
    </row>
    <row r="20" customFormat="false" ht="15" hidden="false" customHeight="false" outlineLevel="0" collapsed="false">
      <c r="A20" s="22" t="n">
        <v>16</v>
      </c>
      <c r="B20" s="5" t="n">
        <f aca="false">Panel!$B$4+7*(A20-1)</f>
        <v>46433</v>
      </c>
      <c r="C20" s="5" t="n">
        <f aca="false">B20+6</f>
        <v>46439</v>
      </c>
      <c r="D20" s="18" t="s">
        <v>88</v>
      </c>
      <c r="E20" s="18" t="s">
        <v>89</v>
      </c>
      <c r="F20" s="18" t="s">
        <v>90</v>
      </c>
      <c r="G20" s="7" t="n">
        <f aca="false">SUMIFS(Diario!$F$6:$F$208,Diario!$A$6:$A$208,A20)</f>
        <v>0</v>
      </c>
      <c r="H20" s="23" t="n">
        <f aca="false">SUMIFS(Diario!$G$6:$G$208,Diario!$A$6:$A$208,A20)</f>
        <v>0</v>
      </c>
      <c r="I20" s="7" t="str">
        <f aca="false">IF(B20&gt;Panel!$B$6,"",H20-G20)</f>
        <v/>
      </c>
      <c r="J20" s="24" t="str">
        <f aca="false">IF(OR(B20&gt;Panel!$B$6,G20=0),"",H20/G20)</f>
        <v/>
      </c>
      <c r="K20" s="7" t="str">
        <f aca="false">IF(C20&lt;Panel!$B$6,MAX(0,SUMIFS(Diario!$F$6:$F$208,Diario!$A$6:$A$208,"&lt;="&amp;A20)-SUMIFS(Diario!$G$6:$G$208,Diario!$A$6:$A$208,"&lt;="&amp;A20)),"")</f>
        <v/>
      </c>
      <c r="L20" s="17" t="str">
        <f aca="false">IF(B20&gt;Panel!$B$6,"Futura",IF(C20&gt;=Panel!$B$6,"En curso",IF(K20&gt;Panel!$B$10,"Correr calendario",IF(H20&gt;=G20,"Cumplida",IF(H20&gt;=Panel!$B$9,"Parcial","Bajo mínimo")))))</f>
        <v>Futura</v>
      </c>
      <c r="M20" s="25" t="s">
        <v>91</v>
      </c>
    </row>
    <row r="21" customFormat="false" ht="15" hidden="false" customHeight="false" outlineLevel="0" collapsed="false">
      <c r="A21" s="22" t="n">
        <v>17</v>
      </c>
      <c r="B21" s="5" t="n">
        <f aca="false">Panel!$B$4+7*(A21-1)</f>
        <v>46440</v>
      </c>
      <c r="C21" s="5" t="n">
        <f aca="false">B21+6</f>
        <v>46446</v>
      </c>
      <c r="D21" s="18" t="s">
        <v>92</v>
      </c>
      <c r="E21" s="18" t="s">
        <v>73</v>
      </c>
      <c r="F21" s="18" t="s">
        <v>71</v>
      </c>
      <c r="G21" s="7" t="n">
        <f aca="false">SUMIFS(Diario!$F$6:$F$208,Diario!$A$6:$A$208,A21)</f>
        <v>10</v>
      </c>
      <c r="H21" s="23" t="n">
        <f aca="false">SUMIFS(Diario!$G$6:$G$208,Diario!$A$6:$A$208,A21)</f>
        <v>0</v>
      </c>
      <c r="I21" s="7" t="str">
        <f aca="false">IF(B21&gt;Panel!$B$6,"",H21-G21)</f>
        <v/>
      </c>
      <c r="J21" s="24" t="str">
        <f aca="false">IF(OR(B21&gt;Panel!$B$6,G21=0),"",H21/G21)</f>
        <v/>
      </c>
      <c r="K21" s="7" t="str">
        <f aca="false">IF(C21&lt;Panel!$B$6,MAX(0,SUMIFS(Diario!$F$6:$F$208,Diario!$A$6:$A$208,"&lt;="&amp;A21)-SUMIFS(Diario!$G$6:$G$208,Diario!$A$6:$A$208,"&lt;="&amp;A21)),"")</f>
        <v/>
      </c>
      <c r="L21" s="17" t="str">
        <f aca="false">IF(B21&gt;Panel!$B$6,"Futura",IF(C21&gt;=Panel!$B$6,"En curso",IF(K21&gt;Panel!$B$10,"Correr calendario",IF(H21&gt;=G21,"Cumplida",IF(H21&gt;=Panel!$B$9,"Parcial","Bajo mínimo")))))</f>
        <v>Futura</v>
      </c>
      <c r="M21" s="25" t="s">
        <v>93</v>
      </c>
    </row>
    <row r="22" customFormat="false" ht="15" hidden="false" customHeight="false" outlineLevel="0" collapsed="false">
      <c r="A22" s="22" t="n">
        <v>18</v>
      </c>
      <c r="B22" s="5" t="n">
        <f aca="false">Panel!$B$4+7*(A22-1)</f>
        <v>46447</v>
      </c>
      <c r="C22" s="5" t="n">
        <f aca="false">B22+6</f>
        <v>46453</v>
      </c>
      <c r="D22" s="18" t="s">
        <v>94</v>
      </c>
      <c r="E22" s="18" t="s">
        <v>73</v>
      </c>
      <c r="F22" s="18" t="s">
        <v>71</v>
      </c>
      <c r="G22" s="7" t="n">
        <f aca="false">SUMIFS(Diario!$F$6:$F$208,Diario!$A$6:$A$208,A22)</f>
        <v>10</v>
      </c>
      <c r="H22" s="23" t="n">
        <f aca="false">SUMIFS(Diario!$G$6:$G$208,Diario!$A$6:$A$208,A22)</f>
        <v>0</v>
      </c>
      <c r="I22" s="7" t="str">
        <f aca="false">IF(B22&gt;Panel!$B$6,"",H22-G22)</f>
        <v/>
      </c>
      <c r="J22" s="24" t="str">
        <f aca="false">IF(OR(B22&gt;Panel!$B$6,G22=0),"",H22/G22)</f>
        <v/>
      </c>
      <c r="K22" s="7" t="str">
        <f aca="false">IF(C22&lt;Panel!$B$6,MAX(0,SUMIFS(Diario!$F$6:$F$208,Diario!$A$6:$A$208,"&lt;="&amp;A22)-SUMIFS(Diario!$G$6:$G$208,Diario!$A$6:$A$208,"&lt;="&amp;A22)),"")</f>
        <v/>
      </c>
      <c r="L22" s="17" t="str">
        <f aca="false">IF(B22&gt;Panel!$B$6,"Futura",IF(C22&gt;=Panel!$B$6,"En curso",IF(K22&gt;Panel!$B$10,"Correr calendario",IF(H22&gt;=G22,"Cumplida",IF(H22&gt;=Panel!$B$9,"Parcial","Bajo mínimo")))))</f>
        <v>Futura</v>
      </c>
      <c r="M22" s="25"/>
    </row>
    <row r="23" customFormat="false" ht="15" hidden="false" customHeight="false" outlineLevel="0" collapsed="false">
      <c r="A23" s="22" t="n">
        <v>19</v>
      </c>
      <c r="B23" s="5" t="n">
        <f aca="false">Panel!$B$4+7*(A23-1)</f>
        <v>46454</v>
      </c>
      <c r="C23" s="5" t="n">
        <f aca="false">B23+6</f>
        <v>46460</v>
      </c>
      <c r="D23" s="18" t="s">
        <v>95</v>
      </c>
      <c r="E23" s="18" t="s">
        <v>73</v>
      </c>
      <c r="F23" s="18" t="s">
        <v>81</v>
      </c>
      <c r="G23" s="7" t="n">
        <f aca="false">SUMIFS(Diario!$F$6:$F$208,Diario!$A$6:$A$208,A23)</f>
        <v>10</v>
      </c>
      <c r="H23" s="23" t="n">
        <f aca="false">SUMIFS(Diario!$G$6:$G$208,Diario!$A$6:$A$208,A23)</f>
        <v>0</v>
      </c>
      <c r="I23" s="7" t="str">
        <f aca="false">IF(B23&gt;Panel!$B$6,"",H23-G23)</f>
        <v/>
      </c>
      <c r="J23" s="24" t="str">
        <f aca="false">IF(OR(B23&gt;Panel!$B$6,G23=0),"",H23/G23)</f>
        <v/>
      </c>
      <c r="K23" s="7" t="str">
        <f aca="false">IF(C23&lt;Panel!$B$6,MAX(0,SUMIFS(Diario!$F$6:$F$208,Diario!$A$6:$A$208,"&lt;="&amp;A23)-SUMIFS(Diario!$G$6:$G$208,Diario!$A$6:$A$208,"&lt;="&amp;A23)),"")</f>
        <v/>
      </c>
      <c r="L23" s="17" t="str">
        <f aca="false">IF(B23&gt;Panel!$B$6,"Futura",IF(C23&gt;=Panel!$B$6,"En curso",IF(K23&gt;Panel!$B$10,"Correr calendario",IF(H23&gt;=G23,"Cumplida",IF(H23&gt;=Panel!$B$9,"Parcial","Bajo mínimo")))))</f>
        <v>Futura</v>
      </c>
      <c r="M23" s="25"/>
    </row>
    <row r="24" customFormat="false" ht="15" hidden="false" customHeight="false" outlineLevel="0" collapsed="false">
      <c r="A24" s="22" t="n">
        <v>20</v>
      </c>
      <c r="B24" s="5" t="n">
        <f aca="false">Panel!$B$4+7*(A24-1)</f>
        <v>46461</v>
      </c>
      <c r="C24" s="5" t="n">
        <f aca="false">B24+6</f>
        <v>46467</v>
      </c>
      <c r="D24" s="18" t="s">
        <v>96</v>
      </c>
      <c r="E24" s="18" t="s">
        <v>73</v>
      </c>
      <c r="F24" s="18" t="s">
        <v>71</v>
      </c>
      <c r="G24" s="7" t="n">
        <f aca="false">SUMIFS(Diario!$F$6:$F$208,Diario!$A$6:$A$208,A24)</f>
        <v>10</v>
      </c>
      <c r="H24" s="23" t="n">
        <f aca="false">SUMIFS(Diario!$G$6:$G$208,Diario!$A$6:$A$208,A24)</f>
        <v>0</v>
      </c>
      <c r="I24" s="7" t="str">
        <f aca="false">IF(B24&gt;Panel!$B$6,"",H24-G24)</f>
        <v/>
      </c>
      <c r="J24" s="24" t="str">
        <f aca="false">IF(OR(B24&gt;Panel!$B$6,G24=0),"",H24/G24)</f>
        <v/>
      </c>
      <c r="K24" s="7" t="str">
        <f aca="false">IF(C24&lt;Panel!$B$6,MAX(0,SUMIFS(Diario!$F$6:$F$208,Diario!$A$6:$A$208,"&lt;="&amp;A24)-SUMIFS(Diario!$G$6:$G$208,Diario!$A$6:$A$208,"&lt;="&amp;A24)),"")</f>
        <v/>
      </c>
      <c r="L24" s="17" t="str">
        <f aca="false">IF(B24&gt;Panel!$B$6,"Futura",IF(C24&gt;=Panel!$B$6,"En curso",IF(K24&gt;Panel!$B$10,"Correr calendario",IF(H24&gt;=G24,"Cumplida",IF(H24&gt;=Panel!$B$9,"Parcial","Bajo mínimo")))))</f>
        <v>Futura</v>
      </c>
      <c r="M24" s="25"/>
    </row>
    <row r="25" customFormat="false" ht="15" hidden="false" customHeight="false" outlineLevel="0" collapsed="false">
      <c r="A25" s="22" t="n">
        <v>21</v>
      </c>
      <c r="B25" s="5" t="n">
        <f aca="false">Panel!$B$4+7*(A25-1)</f>
        <v>46468</v>
      </c>
      <c r="C25" s="5" t="n">
        <f aca="false">B25+6</f>
        <v>46474</v>
      </c>
      <c r="D25" s="18" t="s">
        <v>96</v>
      </c>
      <c r="E25" s="18" t="s">
        <v>73</v>
      </c>
      <c r="F25" s="18" t="s">
        <v>71</v>
      </c>
      <c r="G25" s="7" t="n">
        <f aca="false">SUMIFS(Diario!$F$6:$F$208,Diario!$A$6:$A$208,A25)</f>
        <v>10</v>
      </c>
      <c r="H25" s="23" t="n">
        <f aca="false">SUMIFS(Diario!$G$6:$G$208,Diario!$A$6:$A$208,A25)</f>
        <v>0</v>
      </c>
      <c r="I25" s="7" t="str">
        <f aca="false">IF(B25&gt;Panel!$B$6,"",H25-G25)</f>
        <v/>
      </c>
      <c r="J25" s="24" t="str">
        <f aca="false">IF(OR(B25&gt;Panel!$B$6,G25=0),"",H25/G25)</f>
        <v/>
      </c>
      <c r="K25" s="7" t="str">
        <f aca="false">IF(C25&lt;Panel!$B$6,MAX(0,SUMIFS(Diario!$F$6:$F$208,Diario!$A$6:$A$208,"&lt;="&amp;A25)-SUMIFS(Diario!$G$6:$G$208,Diario!$A$6:$A$208,"&lt;="&amp;A25)),"")</f>
        <v/>
      </c>
      <c r="L25" s="17" t="str">
        <f aca="false">IF(B25&gt;Panel!$B$6,"Futura",IF(C25&gt;=Panel!$B$6,"En curso",IF(K25&gt;Panel!$B$10,"Correr calendario",IF(H25&gt;=G25,"Cumplida",IF(H25&gt;=Panel!$B$9,"Parcial","Bajo mínimo")))))</f>
        <v>Futura</v>
      </c>
      <c r="M25" s="25"/>
    </row>
    <row r="26" customFormat="false" ht="23.85" hidden="false" customHeight="false" outlineLevel="0" collapsed="false">
      <c r="A26" s="22" t="n">
        <v>22</v>
      </c>
      <c r="B26" s="5" t="n">
        <f aca="false">Panel!$B$4+7*(A26-1)</f>
        <v>46475</v>
      </c>
      <c r="C26" s="5" t="n">
        <f aca="false">B26+6</f>
        <v>46481</v>
      </c>
      <c r="D26" s="18" t="s">
        <v>96</v>
      </c>
      <c r="E26" s="18" t="s">
        <v>73</v>
      </c>
      <c r="F26" s="18" t="s">
        <v>81</v>
      </c>
      <c r="G26" s="7" t="n">
        <f aca="false">SUMIFS(Diario!$F$6:$F$208,Diario!$A$6:$A$208,A26)</f>
        <v>11</v>
      </c>
      <c r="H26" s="23" t="n">
        <f aca="false">SUMIFS(Diario!$G$6:$G$208,Diario!$A$6:$A$208,A26)</f>
        <v>0</v>
      </c>
      <c r="I26" s="7" t="str">
        <f aca="false">IF(B26&gt;Panel!$B$6,"",H26-G26)</f>
        <v/>
      </c>
      <c r="J26" s="24" t="str">
        <f aca="false">IF(OR(B26&gt;Panel!$B$6,G26=0),"",H26/G26)</f>
        <v/>
      </c>
      <c r="K26" s="7" t="str">
        <f aca="false">IF(C26&lt;Panel!$B$6,MAX(0,SUMIFS(Diario!$F$6:$F$208,Diario!$A$6:$A$208,"&lt;="&amp;A26)-SUMIFS(Diario!$G$6:$G$208,Diario!$A$6:$A$208,"&lt;="&amp;A26)),"")</f>
        <v/>
      </c>
      <c r="L26" s="17" t="str">
        <f aca="false">IF(B26&gt;Panel!$B$6,"Futura",IF(C26&gt;=Panel!$B$6,"En curso",IF(K26&gt;Panel!$B$10,"Correr calendario",IF(H26&gt;=G26,"Cumplida",IF(H26&gt;=Panel!$B$9,"Parcial","Bajo mínimo")))))</f>
        <v>Futura</v>
      </c>
      <c r="M26" s="25" t="s">
        <v>97</v>
      </c>
    </row>
    <row r="27" customFormat="false" ht="15" hidden="false" customHeight="false" outlineLevel="0" collapsed="false">
      <c r="A27" s="22" t="n">
        <v>23</v>
      </c>
      <c r="B27" s="5" t="n">
        <f aca="false">Panel!$B$4+7*(A27-1)</f>
        <v>46482</v>
      </c>
      <c r="C27" s="5" t="n">
        <f aca="false">B27+6</f>
        <v>46488</v>
      </c>
      <c r="D27" s="18" t="s">
        <v>98</v>
      </c>
      <c r="E27" s="18" t="s">
        <v>99</v>
      </c>
      <c r="F27" s="18" t="s">
        <v>71</v>
      </c>
      <c r="G27" s="7" t="n">
        <f aca="false">SUMIFS(Diario!$F$6:$F$208,Diario!$A$6:$A$208,A27)</f>
        <v>10</v>
      </c>
      <c r="H27" s="23" t="n">
        <f aca="false">SUMIFS(Diario!$G$6:$G$208,Diario!$A$6:$A$208,A27)</f>
        <v>0</v>
      </c>
      <c r="I27" s="7" t="str">
        <f aca="false">IF(B27&gt;Panel!$B$6,"",H27-G27)</f>
        <v/>
      </c>
      <c r="J27" s="24" t="str">
        <f aca="false">IF(OR(B27&gt;Panel!$B$6,G27=0),"",H27/G27)</f>
        <v/>
      </c>
      <c r="K27" s="7" t="str">
        <f aca="false">IF(C27&lt;Panel!$B$6,MAX(0,SUMIFS(Diario!$F$6:$F$208,Diario!$A$6:$A$208,"&lt;="&amp;A27)-SUMIFS(Diario!$G$6:$G$208,Diario!$A$6:$A$208,"&lt;="&amp;A27)),"")</f>
        <v/>
      </c>
      <c r="L27" s="17" t="str">
        <f aca="false">IF(B27&gt;Panel!$B$6,"Futura",IF(C27&gt;=Panel!$B$6,"En curso",IF(K27&gt;Panel!$B$10,"Correr calendario",IF(H27&gt;=G27,"Cumplida",IF(H27&gt;=Panel!$B$9,"Parcial","Bajo mínimo")))))</f>
        <v>Futura</v>
      </c>
      <c r="M27" s="25"/>
    </row>
    <row r="28" customFormat="false" ht="15" hidden="false" customHeight="false" outlineLevel="0" collapsed="false">
      <c r="A28" s="22" t="n">
        <v>24</v>
      </c>
      <c r="B28" s="5" t="n">
        <f aca="false">Panel!$B$4+7*(A28-1)</f>
        <v>46489</v>
      </c>
      <c r="C28" s="5" t="n">
        <f aca="false">B28+6</f>
        <v>46495</v>
      </c>
      <c r="D28" s="18" t="s">
        <v>98</v>
      </c>
      <c r="E28" s="18" t="s">
        <v>99</v>
      </c>
      <c r="F28" s="18" t="s">
        <v>71</v>
      </c>
      <c r="G28" s="7" t="n">
        <f aca="false">SUMIFS(Diario!$F$6:$F$208,Diario!$A$6:$A$208,A28)</f>
        <v>10</v>
      </c>
      <c r="H28" s="23" t="n">
        <f aca="false">SUMIFS(Diario!$G$6:$G$208,Diario!$A$6:$A$208,A28)</f>
        <v>0</v>
      </c>
      <c r="I28" s="7" t="str">
        <f aca="false">IF(B28&gt;Panel!$B$6,"",H28-G28)</f>
        <v/>
      </c>
      <c r="J28" s="24" t="str">
        <f aca="false">IF(OR(B28&gt;Panel!$B$6,G28=0),"",H28/G28)</f>
        <v/>
      </c>
      <c r="K28" s="7" t="str">
        <f aca="false">IF(C28&lt;Panel!$B$6,MAX(0,SUMIFS(Diario!$F$6:$F$208,Diario!$A$6:$A$208,"&lt;="&amp;A28)-SUMIFS(Diario!$G$6:$G$208,Diario!$A$6:$A$208,"&lt;="&amp;A28)),"")</f>
        <v/>
      </c>
      <c r="L28" s="17" t="str">
        <f aca="false">IF(B28&gt;Panel!$B$6,"Futura",IF(C28&gt;=Panel!$B$6,"En curso",IF(K28&gt;Panel!$B$10,"Correr calendario",IF(H28&gt;=G28,"Cumplida",IF(H28&gt;=Panel!$B$9,"Parcial","Bajo mínimo")))))</f>
        <v>Futura</v>
      </c>
      <c r="M28" s="25"/>
    </row>
    <row r="29" customFormat="false" ht="15" hidden="false" customHeight="false" outlineLevel="0" collapsed="false">
      <c r="A29" s="22" t="n">
        <v>25</v>
      </c>
      <c r="B29" s="5" t="n">
        <f aca="false">Panel!$B$4+7*(A29-1)</f>
        <v>46496</v>
      </c>
      <c r="C29" s="5" t="n">
        <f aca="false">B29+6</f>
        <v>46502</v>
      </c>
      <c r="D29" s="18" t="s">
        <v>98</v>
      </c>
      <c r="E29" s="18" t="s">
        <v>100</v>
      </c>
      <c r="F29" s="18" t="s">
        <v>71</v>
      </c>
      <c r="G29" s="7" t="n">
        <f aca="false">SUMIFS(Diario!$F$6:$F$208,Diario!$A$6:$A$208,A29)</f>
        <v>10</v>
      </c>
      <c r="H29" s="23" t="n">
        <f aca="false">SUMIFS(Diario!$G$6:$G$208,Diario!$A$6:$A$208,A29)</f>
        <v>0</v>
      </c>
      <c r="I29" s="7" t="str">
        <f aca="false">IF(B29&gt;Panel!$B$6,"",H29-G29)</f>
        <v/>
      </c>
      <c r="J29" s="24" t="str">
        <f aca="false">IF(OR(B29&gt;Panel!$B$6,G29=0),"",H29/G29)</f>
        <v/>
      </c>
      <c r="K29" s="7" t="str">
        <f aca="false">IF(C29&lt;Panel!$B$6,MAX(0,SUMIFS(Diario!$F$6:$F$208,Diario!$A$6:$A$208,"&lt;="&amp;A29)-SUMIFS(Diario!$G$6:$G$208,Diario!$A$6:$A$208,"&lt;="&amp;A29)),"")</f>
        <v/>
      </c>
      <c r="L29" s="17" t="str">
        <f aca="false">IF(B29&gt;Panel!$B$6,"Futura",IF(C29&gt;=Panel!$B$6,"En curso",IF(K29&gt;Panel!$B$10,"Correr calendario",IF(H29&gt;=G29,"Cumplida",IF(H29&gt;=Panel!$B$9,"Parcial","Bajo mínimo")))))</f>
        <v>Futura</v>
      </c>
      <c r="M29" s="25"/>
    </row>
    <row r="30" customFormat="false" ht="15" hidden="false" customHeight="false" outlineLevel="0" collapsed="false">
      <c r="A30" s="22" t="n">
        <v>26</v>
      </c>
      <c r="B30" s="5" t="n">
        <f aca="false">Panel!$B$4+7*(A30-1)</f>
        <v>46503</v>
      </c>
      <c r="C30" s="5" t="n">
        <f aca="false">B30+6</f>
        <v>46509</v>
      </c>
      <c r="D30" s="18" t="s">
        <v>98</v>
      </c>
      <c r="E30" s="18" t="s">
        <v>101</v>
      </c>
      <c r="F30" s="18" t="s">
        <v>71</v>
      </c>
      <c r="G30" s="7" t="n">
        <f aca="false">SUMIFS(Diario!$F$6:$F$208,Diario!$A$6:$A$208,A30)</f>
        <v>10</v>
      </c>
      <c r="H30" s="23" t="n">
        <f aca="false">SUMIFS(Diario!$G$6:$G$208,Diario!$A$6:$A$208,A30)</f>
        <v>0</v>
      </c>
      <c r="I30" s="7" t="str">
        <f aca="false">IF(B30&gt;Panel!$B$6,"",H30-G30)</f>
        <v/>
      </c>
      <c r="J30" s="24" t="str">
        <f aca="false">IF(OR(B30&gt;Panel!$B$6,G30=0),"",H30/G30)</f>
        <v/>
      </c>
      <c r="K30" s="7" t="str">
        <f aca="false">IF(C30&lt;Panel!$B$6,MAX(0,SUMIFS(Diario!$F$6:$F$208,Diario!$A$6:$A$208,"&lt;="&amp;A30)-SUMIFS(Diario!$G$6:$G$208,Diario!$A$6:$A$208,"&lt;="&amp;A30)),"")</f>
        <v/>
      </c>
      <c r="L30" s="17" t="str">
        <f aca="false">IF(B30&gt;Panel!$B$6,"Futura",IF(C30&gt;=Panel!$B$6,"En curso",IF(K30&gt;Panel!$B$10,"Correr calendario",IF(H30&gt;=G30,"Cumplida",IF(H30&gt;=Panel!$B$9,"Parcial","Bajo mínimo")))))</f>
        <v>Futura</v>
      </c>
      <c r="M30" s="25"/>
    </row>
    <row r="31" customFormat="false" ht="15" hidden="false" customHeight="false" outlineLevel="0" collapsed="false">
      <c r="A31" s="22" t="n">
        <v>27</v>
      </c>
      <c r="B31" s="5" t="n">
        <f aca="false">Panel!$B$4+7*(A31-1)</f>
        <v>46510</v>
      </c>
      <c r="C31" s="5" t="n">
        <f aca="false">B31+6</f>
        <v>46516</v>
      </c>
      <c r="D31" s="18" t="s">
        <v>98</v>
      </c>
      <c r="E31" s="18" t="s">
        <v>102</v>
      </c>
      <c r="F31" s="18" t="s">
        <v>71</v>
      </c>
      <c r="G31" s="7" t="n">
        <f aca="false">SUMIFS(Diario!$F$6:$F$208,Diario!$A$6:$A$208,A31)</f>
        <v>10</v>
      </c>
      <c r="H31" s="23" t="n">
        <f aca="false">SUMIFS(Diario!$G$6:$G$208,Diario!$A$6:$A$208,A31)</f>
        <v>0</v>
      </c>
      <c r="I31" s="7" t="str">
        <f aca="false">IF(B31&gt;Panel!$B$6,"",H31-G31)</f>
        <v/>
      </c>
      <c r="J31" s="24" t="str">
        <f aca="false">IF(OR(B31&gt;Panel!$B$6,G31=0),"",H31/G31)</f>
        <v/>
      </c>
      <c r="K31" s="7" t="str">
        <f aca="false">IF(C31&lt;Panel!$B$6,MAX(0,SUMIFS(Diario!$F$6:$F$208,Diario!$A$6:$A$208,"&lt;="&amp;A31)-SUMIFS(Diario!$G$6:$G$208,Diario!$A$6:$A$208,"&lt;="&amp;A31)),"")</f>
        <v/>
      </c>
      <c r="L31" s="17" t="str">
        <f aca="false">IF(B31&gt;Panel!$B$6,"Futura",IF(C31&gt;=Panel!$B$6,"En curso",IF(K31&gt;Panel!$B$10,"Correr calendario",IF(H31&gt;=G31,"Cumplida",IF(H31&gt;=Panel!$B$9,"Parcial","Bajo mínimo")))))</f>
        <v>Futura</v>
      </c>
      <c r="M31" s="25"/>
    </row>
    <row r="32" customFormat="false" ht="23.85" hidden="false" customHeight="false" outlineLevel="0" collapsed="false">
      <c r="A32" s="22" t="n">
        <v>28</v>
      </c>
      <c r="B32" s="5" t="n">
        <f aca="false">Panel!$B$4+7*(A32-1)</f>
        <v>46517</v>
      </c>
      <c r="C32" s="5" t="n">
        <f aca="false">B32+6</f>
        <v>46523</v>
      </c>
      <c r="D32" s="18" t="s">
        <v>98</v>
      </c>
      <c r="E32" s="18" t="s">
        <v>103</v>
      </c>
      <c r="F32" s="18" t="s">
        <v>71</v>
      </c>
      <c r="G32" s="7" t="n">
        <f aca="false">SUMIFS(Diario!$F$6:$F$208,Diario!$A$6:$A$208,A32)</f>
        <v>4</v>
      </c>
      <c r="H32" s="23" t="n">
        <f aca="false">SUMIFS(Diario!$G$6:$G$208,Diario!$A$6:$A$208,A32)</f>
        <v>0</v>
      </c>
      <c r="I32" s="7" t="str">
        <f aca="false">IF(B32&gt;Panel!$B$6,"",H32-G32)</f>
        <v/>
      </c>
      <c r="J32" s="24" t="str">
        <f aca="false">IF(OR(B32&gt;Panel!$B$6,G32=0),"",H32/G32)</f>
        <v/>
      </c>
      <c r="K32" s="7" t="str">
        <f aca="false">IF(C32&lt;Panel!$B$6,MAX(0,SUMIFS(Diario!$F$6:$F$208,Diario!$A$6:$A$208,"&lt;="&amp;A32)-SUMIFS(Diario!$G$6:$G$208,Diario!$A$6:$A$208,"&lt;="&amp;A32)),"")</f>
        <v/>
      </c>
      <c r="L32" s="17" t="str">
        <f aca="false">IF(B32&gt;Panel!$B$6,"Futura",IF(C32&gt;=Panel!$B$6,"En curso",IF(K32&gt;Panel!$B$10,"Correr calendario",IF(H32&gt;=G32,"Cumplida",IF(H32&gt;=Panel!$B$9,"Parcial","Bajo mínimo")))))</f>
        <v>Futura</v>
      </c>
      <c r="M32" s="25" t="s">
        <v>104</v>
      </c>
    </row>
    <row r="33" customFormat="false" ht="15" hidden="false" customHeight="false" outlineLevel="0" collapsed="false">
      <c r="A33" s="22" t="n">
        <v>29</v>
      </c>
      <c r="B33" s="5" t="n">
        <f aca="false">Panel!$B$4+7*(A33-1)</f>
        <v>46524</v>
      </c>
      <c r="C33" s="5" t="n">
        <f aca="false">B33+6</f>
        <v>46530</v>
      </c>
      <c r="D33" s="18" t="s">
        <v>105</v>
      </c>
      <c r="E33" s="18" t="s">
        <v>90</v>
      </c>
      <c r="F33" s="18" t="s">
        <v>90</v>
      </c>
      <c r="G33" s="7" t="n">
        <f aca="false">SUMIFS(Diario!$F$6:$F$208,Diario!$A$6:$A$208,A33)</f>
        <v>0</v>
      </c>
      <c r="H33" s="23" t="n">
        <f aca="false">SUMIFS(Diario!$G$6:$G$208,Diario!$A$6:$A$208,A33)</f>
        <v>0</v>
      </c>
      <c r="I33" s="7" t="str">
        <f aca="false">IF(B33&gt;Panel!$B$6,"",H33-G33)</f>
        <v/>
      </c>
      <c r="J33" s="24" t="str">
        <f aca="false">IF(OR(B33&gt;Panel!$B$6,G33=0),"",H33/G33)</f>
        <v/>
      </c>
      <c r="K33" s="7" t="str">
        <f aca="false">IF(C33&lt;Panel!$B$6,MAX(0,SUMIFS(Diario!$F$6:$F$208,Diario!$A$6:$A$208,"&lt;="&amp;A33)-SUMIFS(Diario!$G$6:$G$208,Diario!$A$6:$A$208,"&lt;="&amp;A33)),"")</f>
        <v/>
      </c>
      <c r="L33" s="17" t="str">
        <f aca="false">IF(B33&gt;Panel!$B$6,"Futura",IF(C33&gt;=Panel!$B$6,"En curso",IF(K33&gt;Panel!$B$10,"Correr calendario",IF(H33&gt;=G33,"Cumplida",IF(H33&gt;=Panel!$B$9,"Parcial","Bajo mínimo")))))</f>
        <v>Futura</v>
      </c>
      <c r="M33" s="25" t="s">
        <v>106</v>
      </c>
    </row>
    <row r="34" customFormat="false" ht="15" hidden="false" customHeight="false" outlineLevel="0" collapsed="false">
      <c r="F34" s="3" t="s">
        <v>107</v>
      </c>
      <c r="G34" s="11" t="n">
        <f aca="false">SUM(G5:G33)</f>
        <v>255</v>
      </c>
      <c r="H34" s="10" t="n">
        <f aca="false">SUM(H5:H33)</f>
        <v>0</v>
      </c>
    </row>
    <row r="36" customFormat="false" ht="15" hidden="false" customHeight="false" outlineLevel="0" collapsed="false">
      <c r="A36" s="2" t="s">
        <v>108</v>
      </c>
    </row>
  </sheetData>
  <conditionalFormatting sqref="L5:L33">
    <cfRule type="expression" priority="2" aboveAverage="0" equalAverage="0" bottom="0" percent="0" rank="0" text="" dxfId="0">
      <formula>$L5="Cumplida"</formula>
    </cfRule>
    <cfRule type="expression" priority="3" aboveAverage="0" equalAverage="0" bottom="0" percent="0" rank="0" text="" dxfId="1">
      <formula>$L5="Parcial"</formula>
    </cfRule>
    <cfRule type="expression" priority="4" aboveAverage="0" equalAverage="0" bottom="0" percent="0" rank="0" text="" dxfId="2">
      <formula>OR($L5="Bajo mínimo",$L5="Correr calendario")</formula>
    </cfRule>
    <cfRule type="expression" priority="5" aboveAverage="0" equalAverage="0" bottom="0" percent="0" rank="0" text="" dxfId="3">
      <formula>$L5="En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7" min="4" style="0" width="9"/>
    <col collapsed="false" customWidth="true" hidden="false" outlineLevel="0" max="9" min="8" style="0" width="12"/>
    <col collapsed="false" customWidth="true" hidden="false" outlineLevel="0" max="14" min="10" style="0" width="11"/>
    <col collapsed="false" customWidth="true" hidden="false" outlineLevel="0" max="19" min="15" style="0" width="10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3" min="22" style="0" width="11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5.05" hidden="false" customHeight="false" outlineLevel="0" collapsed="false">
      <c r="A4" s="15" t="s">
        <v>63</v>
      </c>
      <c r="B4" s="15" t="s">
        <v>111</v>
      </c>
      <c r="C4" s="15" t="s">
        <v>112</v>
      </c>
      <c r="D4" s="15" t="s">
        <v>113</v>
      </c>
      <c r="E4" s="15" t="s">
        <v>114</v>
      </c>
      <c r="F4" s="15" t="s">
        <v>115</v>
      </c>
      <c r="G4" s="15" t="s">
        <v>116</v>
      </c>
      <c r="H4" s="15" t="s">
        <v>117</v>
      </c>
      <c r="I4" s="15" t="s">
        <v>118</v>
      </c>
      <c r="J4" s="15" t="s">
        <v>119</v>
      </c>
      <c r="K4" s="15" t="s">
        <v>120</v>
      </c>
      <c r="L4" s="15" t="s">
        <v>121</v>
      </c>
      <c r="M4" s="15" t="s">
        <v>122</v>
      </c>
      <c r="N4" s="15" t="s">
        <v>123</v>
      </c>
      <c r="O4" s="15" t="s">
        <v>124</v>
      </c>
      <c r="P4" s="15" t="s">
        <v>125</v>
      </c>
      <c r="Q4" s="15" t="s">
        <v>126</v>
      </c>
      <c r="R4" s="15" t="s">
        <v>127</v>
      </c>
      <c r="S4" s="15" t="s">
        <v>128</v>
      </c>
      <c r="T4" s="15" t="s">
        <v>129</v>
      </c>
      <c r="U4" s="15" t="s">
        <v>130</v>
      </c>
      <c r="V4" s="15" t="s">
        <v>131</v>
      </c>
      <c r="W4" s="15" t="s">
        <v>132</v>
      </c>
    </row>
    <row r="5" customFormat="false" ht="15" hidden="false" customHeight="false" outlineLevel="0" collapsed="false">
      <c r="A5" s="3" t="s">
        <v>133</v>
      </c>
      <c r="B5" s="18" t="s">
        <v>134</v>
      </c>
      <c r="C5" s="18" t="s">
        <v>135</v>
      </c>
      <c r="D5" s="18" t="n">
        <v>20</v>
      </c>
      <c r="E5" s="22" t="n">
        <f aca="false">ROUND(D5/Panel!$B$8,0)</f>
        <v>13</v>
      </c>
      <c r="F5" s="18" t="n">
        <v>1</v>
      </c>
      <c r="G5" s="18" t="n">
        <v>22</v>
      </c>
      <c r="H5" s="5" t="n">
        <f aca="false">Panel!$B$4+7*(F5-1)</f>
        <v>46328</v>
      </c>
      <c r="I5" s="5" t="n">
        <f aca="false">Panel!$B$4+7*(G5-1)+6</f>
        <v>46481</v>
      </c>
      <c r="J5" s="18" t="s">
        <v>71</v>
      </c>
      <c r="K5" s="22" t="n">
        <f aca="false">COUNTIF(Lecturas!$A$6:$A$300,A5)</f>
        <v>0</v>
      </c>
      <c r="L5" s="26" t="n">
        <v>0</v>
      </c>
      <c r="M5" s="26" t="n">
        <v>0</v>
      </c>
      <c r="N5" s="26" t="n">
        <v>0</v>
      </c>
      <c r="O5" s="24" t="n">
        <f aca="false">IF(K5&gt;0,COUNTIFS(Lecturas!$A$6:$A$300,A5,Lecturas!$F$6:$F$300,"Sí")/K5,L5)</f>
        <v>0</v>
      </c>
      <c r="P5" s="24" t="n">
        <f aca="false">IF(K5&gt;0,COUNTIFS(Lecturas!$A$6:$A$300,A5,Lecturas!$G$6:$G$300,"Sí")/K5,M5)</f>
        <v>0</v>
      </c>
      <c r="Q5" s="24" t="n">
        <f aca="false">IF(SUMIFS(Lecturas!$H$6:$H$300,Lecturas!$A$6:$A$300,A5)&gt;0,SUMIFS(Lecturas!$I$6:$I$300,Lecturas!$A$6:$A$300,A5)/SUMIFS(Lecturas!$H$6:$H$300,Lecturas!$A$6:$A$300,A5),N5)</f>
        <v>0</v>
      </c>
      <c r="R5" s="18" t="s">
        <v>71</v>
      </c>
      <c r="S5" s="18" t="s">
        <v>71</v>
      </c>
      <c r="T5" s="24" t="n">
        <f aca="false">IFERROR(AVERAGEIFS(Registro!$D$6:$D$500,Registro!$C$6:$C$500,A5),0)</f>
        <v>0</v>
      </c>
      <c r="U5" s="12" t="n">
        <f aca="false">0.35*O5+0.2*P5+0.45*Q5</f>
        <v>0</v>
      </c>
      <c r="V5" s="18" t="n">
        <v>14</v>
      </c>
      <c r="W5" s="18" t="n">
        <v>0</v>
      </c>
    </row>
    <row r="6" customFormat="false" ht="15" hidden="false" customHeight="false" outlineLevel="0" collapsed="false">
      <c r="A6" s="3" t="s">
        <v>69</v>
      </c>
      <c r="B6" s="18" t="s">
        <v>134</v>
      </c>
      <c r="C6" s="18" t="s">
        <v>136</v>
      </c>
      <c r="D6" s="18" t="n">
        <v>26</v>
      </c>
      <c r="E6" s="22" t="n">
        <f aca="false">ROUND(D6/Panel!$B$8,0)</f>
        <v>17</v>
      </c>
      <c r="F6" s="18" t="n">
        <v>1</v>
      </c>
      <c r="G6" s="18" t="n">
        <v>2</v>
      </c>
      <c r="H6" s="5" t="n">
        <f aca="false">Panel!$B$4+7*(F6-1)</f>
        <v>46328</v>
      </c>
      <c r="I6" s="5" t="n">
        <f aca="false">Panel!$B$4+7*(G6-1)+6</f>
        <v>46341</v>
      </c>
      <c r="J6" s="18" t="s">
        <v>71</v>
      </c>
      <c r="K6" s="22" t="n">
        <f aca="false">COUNTIF(Lecturas!$A$6:$A$300,A6)</f>
        <v>0</v>
      </c>
      <c r="L6" s="26" t="n">
        <v>0</v>
      </c>
      <c r="M6" s="26" t="n">
        <v>0</v>
      </c>
      <c r="N6" s="26" t="n">
        <v>0</v>
      </c>
      <c r="O6" s="24" t="n">
        <f aca="false">IF(K6&gt;0,COUNTIFS(Lecturas!$A$6:$A$300,A6,Lecturas!$F$6:$F$300,"Sí")/K6,L6)</f>
        <v>0</v>
      </c>
      <c r="P6" s="24" t="n">
        <f aca="false">IF(K6&gt;0,COUNTIFS(Lecturas!$A$6:$A$300,A6,Lecturas!$G$6:$G$300,"Sí")/K6,M6)</f>
        <v>0</v>
      </c>
      <c r="Q6" s="24" t="n">
        <f aca="false">IF(SUMIFS(Lecturas!$H$6:$H$300,Lecturas!$A$6:$A$300,A6)&gt;0,SUMIFS(Lecturas!$I$6:$I$300,Lecturas!$A$6:$A$300,A6)/SUMIFS(Lecturas!$H$6:$H$300,Lecturas!$A$6:$A$300,A6),N6)</f>
        <v>0</v>
      </c>
      <c r="R6" s="18" t="s">
        <v>71</v>
      </c>
      <c r="S6" s="18" t="s">
        <v>71</v>
      </c>
      <c r="T6" s="24" t="n">
        <f aca="false">IFERROR(AVERAGEIFS(Registro!$D$6:$D$500,Registro!$C$6:$C$500,A6),0)</f>
        <v>0</v>
      </c>
      <c r="U6" s="12" t="n">
        <f aca="false">0.35*O6+0.2*P6+0.45*Q6</f>
        <v>0</v>
      </c>
      <c r="V6" s="18" t="n">
        <v>10</v>
      </c>
      <c r="W6" s="18" t="n">
        <v>0</v>
      </c>
    </row>
    <row r="7" customFormat="false" ht="15" hidden="false" customHeight="false" outlineLevel="0" collapsed="false">
      <c r="A7" s="3" t="s">
        <v>74</v>
      </c>
      <c r="B7" s="18" t="s">
        <v>137</v>
      </c>
      <c r="C7" s="18" t="s">
        <v>138</v>
      </c>
      <c r="D7" s="18" t="n">
        <v>26</v>
      </c>
      <c r="E7" s="22" t="n">
        <f aca="false">ROUND(D7/Panel!$B$8,0)</f>
        <v>17</v>
      </c>
      <c r="F7" s="18" t="n">
        <v>3</v>
      </c>
      <c r="G7" s="18" t="n">
        <v>4</v>
      </c>
      <c r="H7" s="5" t="n">
        <f aca="false">Panel!$B$4+7*(F7-1)</f>
        <v>46342</v>
      </c>
      <c r="I7" s="5" t="n">
        <f aca="false">Panel!$B$4+7*(G7-1)+6</f>
        <v>46355</v>
      </c>
      <c r="J7" s="18" t="s">
        <v>71</v>
      </c>
      <c r="K7" s="22" t="n">
        <f aca="false">COUNTIF(Lecturas!$A$6:$A$300,A7)</f>
        <v>0</v>
      </c>
      <c r="L7" s="26" t="n">
        <v>0</v>
      </c>
      <c r="M7" s="26" t="n">
        <v>0</v>
      </c>
      <c r="N7" s="26" t="n">
        <v>0</v>
      </c>
      <c r="O7" s="24" t="n">
        <f aca="false">IF(K7&gt;0,COUNTIFS(Lecturas!$A$6:$A$300,A7,Lecturas!$F$6:$F$300,"Sí")/K7,L7)</f>
        <v>0</v>
      </c>
      <c r="P7" s="24" t="n">
        <f aca="false">IF(K7&gt;0,COUNTIFS(Lecturas!$A$6:$A$300,A7,Lecturas!$G$6:$G$300,"Sí")/K7,M7)</f>
        <v>0</v>
      </c>
      <c r="Q7" s="24" t="n">
        <f aca="false">IF(SUMIFS(Lecturas!$H$6:$H$300,Lecturas!$A$6:$A$300,A7)&gt;0,SUMIFS(Lecturas!$I$6:$I$300,Lecturas!$A$6:$A$300,A7)/SUMIFS(Lecturas!$H$6:$H$300,Lecturas!$A$6:$A$300,A7),N7)</f>
        <v>0</v>
      </c>
      <c r="R7" s="18" t="s">
        <v>71</v>
      </c>
      <c r="S7" s="18" t="s">
        <v>71</v>
      </c>
      <c r="T7" s="24" t="n">
        <f aca="false">IFERROR(AVERAGEIFS(Registro!$D$6:$D$500,Registro!$C$6:$C$500,A7),0)</f>
        <v>0</v>
      </c>
      <c r="U7" s="12" t="n">
        <f aca="false">0.35*O7+0.2*P7+0.45*Q7</f>
        <v>0</v>
      </c>
      <c r="V7" s="18" t="n">
        <v>8</v>
      </c>
      <c r="W7" s="18" t="n">
        <v>0</v>
      </c>
    </row>
    <row r="8" customFormat="false" ht="15" hidden="false" customHeight="false" outlineLevel="0" collapsed="false">
      <c r="A8" s="3" t="s">
        <v>76</v>
      </c>
      <c r="B8" s="18" t="s">
        <v>134</v>
      </c>
      <c r="C8" s="18" t="s">
        <v>136</v>
      </c>
      <c r="D8" s="18" t="n">
        <v>44</v>
      </c>
      <c r="E8" s="22" t="n">
        <f aca="false">ROUND(D8/Panel!$B$8,0)</f>
        <v>29</v>
      </c>
      <c r="F8" s="18" t="n">
        <v>5</v>
      </c>
      <c r="G8" s="18" t="n">
        <v>7</v>
      </c>
      <c r="H8" s="5" t="n">
        <f aca="false">Panel!$B$4+7*(F8-1)</f>
        <v>46356</v>
      </c>
      <c r="I8" s="5" t="n">
        <f aca="false">Panel!$B$4+7*(G8-1)+6</f>
        <v>46376</v>
      </c>
      <c r="J8" s="18" t="s">
        <v>71</v>
      </c>
      <c r="K8" s="22" t="n">
        <f aca="false">COUNTIF(Lecturas!$A$6:$A$300,A8)</f>
        <v>0</v>
      </c>
      <c r="L8" s="26" t="n">
        <v>0</v>
      </c>
      <c r="M8" s="26" t="n">
        <v>0</v>
      </c>
      <c r="N8" s="26" t="n">
        <v>0</v>
      </c>
      <c r="O8" s="24" t="n">
        <f aca="false">IF(K8&gt;0,COUNTIFS(Lecturas!$A$6:$A$300,A8,Lecturas!$F$6:$F$300,"Sí")/K8,L8)</f>
        <v>0</v>
      </c>
      <c r="P8" s="24" t="n">
        <f aca="false">IF(K8&gt;0,COUNTIFS(Lecturas!$A$6:$A$300,A8,Lecturas!$G$6:$G$300,"Sí")/K8,M8)</f>
        <v>0</v>
      </c>
      <c r="Q8" s="24" t="n">
        <f aca="false">IF(SUMIFS(Lecturas!$H$6:$H$300,Lecturas!$A$6:$A$300,A8)&gt;0,SUMIFS(Lecturas!$I$6:$I$300,Lecturas!$A$6:$A$300,A8)/SUMIFS(Lecturas!$H$6:$H$300,Lecturas!$A$6:$A$300,A8),N8)</f>
        <v>0</v>
      </c>
      <c r="R8" s="18" t="s">
        <v>71</v>
      </c>
      <c r="S8" s="18" t="s">
        <v>71</v>
      </c>
      <c r="T8" s="24" t="n">
        <f aca="false">IFERROR(AVERAGEIFS(Registro!$D$6:$D$500,Registro!$C$6:$C$500,A8),0)</f>
        <v>0</v>
      </c>
      <c r="U8" s="12" t="n">
        <f aca="false">0.35*O8+0.2*P8+0.45*Q8</f>
        <v>0</v>
      </c>
      <c r="V8" s="18" t="n">
        <v>25</v>
      </c>
      <c r="W8" s="18" t="n">
        <v>0</v>
      </c>
    </row>
    <row r="9" customFormat="false" ht="15" hidden="false" customHeight="false" outlineLevel="0" collapsed="false">
      <c r="A9" s="3" t="s">
        <v>79</v>
      </c>
      <c r="B9" s="18" t="s">
        <v>139</v>
      </c>
      <c r="C9" s="18" t="s">
        <v>135</v>
      </c>
      <c r="D9" s="18" t="n">
        <v>20</v>
      </c>
      <c r="E9" s="22" t="n">
        <f aca="false">ROUND(D9/Panel!$B$8,0)</f>
        <v>13</v>
      </c>
      <c r="F9" s="18" t="n">
        <v>8</v>
      </c>
      <c r="G9" s="18" t="n">
        <v>9</v>
      </c>
      <c r="H9" s="5" t="n">
        <f aca="false">Panel!$B$4+7*(F9-1)</f>
        <v>46377</v>
      </c>
      <c r="I9" s="5" t="n">
        <f aca="false">Panel!$B$4+7*(G9-1)+6</f>
        <v>46390</v>
      </c>
      <c r="J9" s="18" t="s">
        <v>71</v>
      </c>
      <c r="K9" s="22" t="n">
        <f aca="false">COUNTIF(Lecturas!$A$6:$A$300,A9)</f>
        <v>0</v>
      </c>
      <c r="L9" s="26" t="n">
        <v>0</v>
      </c>
      <c r="M9" s="26" t="n">
        <v>0</v>
      </c>
      <c r="N9" s="26" t="n">
        <v>0</v>
      </c>
      <c r="O9" s="24" t="n">
        <f aca="false">IF(K9&gt;0,COUNTIFS(Lecturas!$A$6:$A$300,A9,Lecturas!$F$6:$F$300,"Sí")/K9,L9)</f>
        <v>0</v>
      </c>
      <c r="P9" s="24" t="n">
        <f aca="false">IF(K9&gt;0,COUNTIFS(Lecturas!$A$6:$A$300,A9,Lecturas!$G$6:$G$300,"Sí")/K9,M9)</f>
        <v>0</v>
      </c>
      <c r="Q9" s="24" t="n">
        <f aca="false">IF(SUMIFS(Lecturas!$H$6:$H$300,Lecturas!$A$6:$A$300,A9)&gt;0,SUMIFS(Lecturas!$I$6:$I$300,Lecturas!$A$6:$A$300,A9)/SUMIFS(Lecturas!$H$6:$H$300,Lecturas!$A$6:$A$300,A9),N9)</f>
        <v>0</v>
      </c>
      <c r="R9" s="18" t="s">
        <v>71</v>
      </c>
      <c r="S9" s="18" t="s">
        <v>71</v>
      </c>
      <c r="T9" s="24" t="n">
        <f aca="false">IFERROR(AVERAGEIFS(Registro!$D$6:$D$500,Registro!$C$6:$C$500,A9),0)</f>
        <v>0</v>
      </c>
      <c r="U9" s="12" t="n">
        <f aca="false">0.35*O9+0.2*P9+0.45*Q9</f>
        <v>0</v>
      </c>
      <c r="V9" s="18" t="n">
        <v>7</v>
      </c>
      <c r="W9" s="18" t="n">
        <v>0</v>
      </c>
    </row>
    <row r="10" customFormat="false" ht="15" hidden="false" customHeight="false" outlineLevel="0" collapsed="false">
      <c r="A10" s="3" t="s">
        <v>83</v>
      </c>
      <c r="B10" s="18" t="s">
        <v>134</v>
      </c>
      <c r="C10" s="18" t="s">
        <v>136</v>
      </c>
      <c r="D10" s="18" t="n">
        <v>44</v>
      </c>
      <c r="E10" s="22" t="n">
        <f aca="false">ROUND(D10/Panel!$B$8,0)</f>
        <v>29</v>
      </c>
      <c r="F10" s="18" t="n">
        <v>10</v>
      </c>
      <c r="G10" s="18" t="n">
        <v>12</v>
      </c>
      <c r="H10" s="5" t="n">
        <f aca="false">Panel!$B$4+7*(F10-1)</f>
        <v>46391</v>
      </c>
      <c r="I10" s="5" t="n">
        <f aca="false">Panel!$B$4+7*(G10-1)+6</f>
        <v>46411</v>
      </c>
      <c r="J10" s="18" t="s">
        <v>71</v>
      </c>
      <c r="K10" s="22" t="n">
        <f aca="false">COUNTIF(Lecturas!$A$6:$A$300,A10)</f>
        <v>0</v>
      </c>
      <c r="L10" s="26" t="n">
        <v>0</v>
      </c>
      <c r="M10" s="26" t="n">
        <v>0</v>
      </c>
      <c r="N10" s="26" t="n">
        <v>0</v>
      </c>
      <c r="O10" s="24" t="n">
        <f aca="false">IF(K10&gt;0,COUNTIFS(Lecturas!$A$6:$A$300,A10,Lecturas!$F$6:$F$300,"Sí")/K10,L10)</f>
        <v>0</v>
      </c>
      <c r="P10" s="24" t="n">
        <f aca="false">IF(K10&gt;0,COUNTIFS(Lecturas!$A$6:$A$300,A10,Lecturas!$G$6:$G$300,"Sí")/K10,M10)</f>
        <v>0</v>
      </c>
      <c r="Q10" s="24" t="n">
        <f aca="false">IF(SUMIFS(Lecturas!$H$6:$H$300,Lecturas!$A$6:$A$300,A10)&gt;0,SUMIFS(Lecturas!$I$6:$I$300,Lecturas!$A$6:$A$300,A10)/SUMIFS(Lecturas!$H$6:$H$300,Lecturas!$A$6:$A$300,A10),N10)</f>
        <v>0</v>
      </c>
      <c r="R10" s="18" t="s">
        <v>71</v>
      </c>
      <c r="S10" s="18" t="s">
        <v>71</v>
      </c>
      <c r="T10" s="24" t="n">
        <f aca="false">IFERROR(AVERAGEIFS(Registro!$D$6:$D$500,Registro!$C$6:$C$500,A10),0)</f>
        <v>0</v>
      </c>
      <c r="U10" s="12" t="n">
        <f aca="false">0.35*O10+0.2*P10+0.45*Q10</f>
        <v>0</v>
      </c>
      <c r="V10" s="18" t="n">
        <v>15</v>
      </c>
      <c r="W10" s="18" t="n">
        <v>0</v>
      </c>
    </row>
    <row r="11" customFormat="false" ht="15" hidden="false" customHeight="false" outlineLevel="0" collapsed="false">
      <c r="A11" s="3" t="s">
        <v>86</v>
      </c>
      <c r="B11" s="18" t="s">
        <v>134</v>
      </c>
      <c r="C11" s="18" t="s">
        <v>136</v>
      </c>
      <c r="D11" s="18" t="n">
        <v>36</v>
      </c>
      <c r="E11" s="22" t="n">
        <f aca="false">ROUND(D11/Panel!$B$8,0)</f>
        <v>24</v>
      </c>
      <c r="F11" s="18" t="n">
        <v>13</v>
      </c>
      <c r="G11" s="18" t="n">
        <v>15</v>
      </c>
      <c r="H11" s="5" t="n">
        <f aca="false">Panel!$B$4+7*(F11-1)</f>
        <v>46412</v>
      </c>
      <c r="I11" s="5" t="n">
        <f aca="false">Panel!$B$4+7*(G11-1)+6</f>
        <v>46432</v>
      </c>
      <c r="J11" s="18" t="s">
        <v>71</v>
      </c>
      <c r="K11" s="22" t="n">
        <f aca="false">COUNTIF(Lecturas!$A$6:$A$300,A11)</f>
        <v>0</v>
      </c>
      <c r="L11" s="26" t="n">
        <v>0</v>
      </c>
      <c r="M11" s="26" t="n">
        <v>0</v>
      </c>
      <c r="N11" s="26" t="n">
        <v>0</v>
      </c>
      <c r="O11" s="24" t="n">
        <f aca="false">IF(K11&gt;0,COUNTIFS(Lecturas!$A$6:$A$300,A11,Lecturas!$F$6:$F$300,"Sí")/K11,L11)</f>
        <v>0</v>
      </c>
      <c r="P11" s="24" t="n">
        <f aca="false">IF(K11&gt;0,COUNTIFS(Lecturas!$A$6:$A$300,A11,Lecturas!$G$6:$G$300,"Sí")/K11,M11)</f>
        <v>0</v>
      </c>
      <c r="Q11" s="24" t="n">
        <f aca="false">IF(SUMIFS(Lecturas!$H$6:$H$300,Lecturas!$A$6:$A$300,A11)&gt;0,SUMIFS(Lecturas!$I$6:$I$300,Lecturas!$A$6:$A$300,A11)/SUMIFS(Lecturas!$H$6:$H$300,Lecturas!$A$6:$A$300,A11),N11)</f>
        <v>0</v>
      </c>
      <c r="R11" s="18" t="s">
        <v>71</v>
      </c>
      <c r="S11" s="18" t="s">
        <v>71</v>
      </c>
      <c r="T11" s="24" t="n">
        <f aca="false">IFERROR(AVERAGEIFS(Registro!$D$6:$D$500,Registro!$C$6:$C$500,A11),0)</f>
        <v>0</v>
      </c>
      <c r="U11" s="12" t="n">
        <f aca="false">0.35*O11+0.2*P11+0.45*Q11</f>
        <v>0</v>
      </c>
      <c r="V11" s="18" t="n">
        <v>25</v>
      </c>
      <c r="W11" s="18" t="n">
        <v>0</v>
      </c>
    </row>
    <row r="12" customFormat="false" ht="15" hidden="false" customHeight="false" outlineLevel="0" collapsed="false">
      <c r="A12" s="3" t="s">
        <v>92</v>
      </c>
      <c r="B12" s="18" t="s">
        <v>140</v>
      </c>
      <c r="C12" s="18" t="s">
        <v>136</v>
      </c>
      <c r="D12" s="18" t="n">
        <v>20</v>
      </c>
      <c r="E12" s="22" t="n">
        <f aca="false">ROUND(D12/Panel!$B$8,0)</f>
        <v>13</v>
      </c>
      <c r="F12" s="18" t="n">
        <v>17</v>
      </c>
      <c r="G12" s="18" t="n">
        <v>18</v>
      </c>
      <c r="H12" s="5" t="n">
        <f aca="false">Panel!$B$4+7*(F12-1)</f>
        <v>46440</v>
      </c>
      <c r="I12" s="5" t="n">
        <f aca="false">Panel!$B$4+7*(G12-1)+6</f>
        <v>46453</v>
      </c>
      <c r="J12" s="18" t="s">
        <v>71</v>
      </c>
      <c r="K12" s="22" t="n">
        <f aca="false">COUNTIF(Lecturas!$A$6:$A$300,A12)</f>
        <v>0</v>
      </c>
      <c r="L12" s="26" t="n">
        <v>0</v>
      </c>
      <c r="M12" s="26" t="n">
        <v>0</v>
      </c>
      <c r="N12" s="26" t="n">
        <v>0</v>
      </c>
      <c r="O12" s="24" t="n">
        <f aca="false">IF(K12&gt;0,COUNTIFS(Lecturas!$A$6:$A$300,A12,Lecturas!$F$6:$F$300,"Sí")/K12,L12)</f>
        <v>0</v>
      </c>
      <c r="P12" s="24" t="n">
        <f aca="false">IF(K12&gt;0,COUNTIFS(Lecturas!$A$6:$A$300,A12,Lecturas!$G$6:$G$300,"Sí")/K12,M12)</f>
        <v>0</v>
      </c>
      <c r="Q12" s="24" t="n">
        <f aca="false">IF(SUMIFS(Lecturas!$H$6:$H$300,Lecturas!$A$6:$A$300,A12)&gt;0,SUMIFS(Lecturas!$I$6:$I$300,Lecturas!$A$6:$A$300,A12)/SUMIFS(Lecturas!$H$6:$H$300,Lecturas!$A$6:$A$300,A12),N12)</f>
        <v>0</v>
      </c>
      <c r="R12" s="18" t="s">
        <v>71</v>
      </c>
      <c r="S12" s="18" t="s">
        <v>71</v>
      </c>
      <c r="T12" s="24" t="n">
        <f aca="false">IFERROR(AVERAGEIFS(Registro!$D$6:$D$500,Registro!$C$6:$C$500,A12),0)</f>
        <v>0</v>
      </c>
      <c r="U12" s="12" t="n">
        <f aca="false">0.35*O12+0.2*P12+0.45*Q12</f>
        <v>0</v>
      </c>
      <c r="V12" s="18" t="n">
        <v>12</v>
      </c>
      <c r="W12" s="18" t="n">
        <v>0</v>
      </c>
    </row>
    <row r="13" customFormat="false" ht="15" hidden="false" customHeight="false" outlineLevel="0" collapsed="false">
      <c r="A13" s="3" t="s">
        <v>95</v>
      </c>
      <c r="B13" s="18" t="s">
        <v>134</v>
      </c>
      <c r="C13" s="18" t="s">
        <v>136</v>
      </c>
      <c r="D13" s="18" t="n">
        <v>18</v>
      </c>
      <c r="E13" s="22" t="n">
        <f aca="false">ROUND(D13/Panel!$B$8,0)</f>
        <v>12</v>
      </c>
      <c r="F13" s="18" t="n">
        <v>18</v>
      </c>
      <c r="G13" s="18" t="n">
        <v>19</v>
      </c>
      <c r="H13" s="5" t="n">
        <f aca="false">Panel!$B$4+7*(F13-1)</f>
        <v>46447</v>
      </c>
      <c r="I13" s="5" t="n">
        <f aca="false">Panel!$B$4+7*(G13-1)+6</f>
        <v>46460</v>
      </c>
      <c r="J13" s="18" t="s">
        <v>71</v>
      </c>
      <c r="K13" s="22" t="n">
        <f aca="false">COUNTIF(Lecturas!$A$6:$A$300,A13)</f>
        <v>0</v>
      </c>
      <c r="L13" s="26" t="n">
        <v>0</v>
      </c>
      <c r="M13" s="26" t="n">
        <v>0</v>
      </c>
      <c r="N13" s="26" t="n">
        <v>0</v>
      </c>
      <c r="O13" s="24" t="n">
        <f aca="false">IF(K13&gt;0,COUNTIFS(Lecturas!$A$6:$A$300,A13,Lecturas!$F$6:$F$300,"Sí")/K13,L13)</f>
        <v>0</v>
      </c>
      <c r="P13" s="24" t="n">
        <f aca="false">IF(K13&gt;0,COUNTIFS(Lecturas!$A$6:$A$300,A13,Lecturas!$G$6:$G$300,"Sí")/K13,M13)</f>
        <v>0</v>
      </c>
      <c r="Q13" s="24" t="n">
        <f aca="false">IF(SUMIFS(Lecturas!$H$6:$H$300,Lecturas!$A$6:$A$300,A13)&gt;0,SUMIFS(Lecturas!$I$6:$I$300,Lecturas!$A$6:$A$300,A13)/SUMIFS(Lecturas!$H$6:$H$300,Lecturas!$A$6:$A$300,A13),N13)</f>
        <v>0</v>
      </c>
      <c r="R13" s="18" t="s">
        <v>71</v>
      </c>
      <c r="S13" s="18" t="s">
        <v>71</v>
      </c>
      <c r="T13" s="24" t="n">
        <f aca="false">IFERROR(AVERAGEIFS(Registro!$D$6:$D$500,Registro!$C$6:$C$500,A13),0)</f>
        <v>0</v>
      </c>
      <c r="U13" s="12" t="n">
        <f aca="false">0.35*O13+0.2*P13+0.45*Q13</f>
        <v>0</v>
      </c>
      <c r="V13" s="18" t="n">
        <v>10</v>
      </c>
      <c r="W13" s="18" t="n">
        <v>0</v>
      </c>
    </row>
    <row r="14" customFormat="false" ht="15" hidden="false" customHeight="false" outlineLevel="0" collapsed="false">
      <c r="A14" s="3" t="s">
        <v>96</v>
      </c>
      <c r="B14" s="18" t="s">
        <v>139</v>
      </c>
      <c r="C14" s="18" t="s">
        <v>135</v>
      </c>
      <c r="D14" s="18" t="n">
        <v>32</v>
      </c>
      <c r="E14" s="22" t="n">
        <f aca="false">ROUND(D14/Panel!$B$8,0)</f>
        <v>21</v>
      </c>
      <c r="F14" s="18" t="n">
        <v>20</v>
      </c>
      <c r="G14" s="18" t="n">
        <v>22</v>
      </c>
      <c r="H14" s="5" t="n">
        <f aca="false">Panel!$B$4+7*(F14-1)</f>
        <v>46461</v>
      </c>
      <c r="I14" s="5" t="n">
        <f aca="false">Panel!$B$4+7*(G14-1)+6</f>
        <v>46481</v>
      </c>
      <c r="J14" s="18" t="s">
        <v>71</v>
      </c>
      <c r="K14" s="22" t="n">
        <f aca="false">COUNTIF(Lecturas!$A$6:$A$300,A14)</f>
        <v>0</v>
      </c>
      <c r="L14" s="26" t="n">
        <v>0</v>
      </c>
      <c r="M14" s="26" t="n">
        <v>0</v>
      </c>
      <c r="N14" s="26" t="n">
        <v>0</v>
      </c>
      <c r="O14" s="24" t="n">
        <f aca="false">IF(K14&gt;0,COUNTIFS(Lecturas!$A$6:$A$300,A14,Lecturas!$F$6:$F$300,"Sí")/K14,L14)</f>
        <v>0</v>
      </c>
      <c r="P14" s="24" t="n">
        <f aca="false">IF(K14&gt;0,COUNTIFS(Lecturas!$A$6:$A$300,A14,Lecturas!$G$6:$G$300,"Sí")/K14,M14)</f>
        <v>0</v>
      </c>
      <c r="Q14" s="24" t="n">
        <f aca="false">IF(SUMIFS(Lecturas!$H$6:$H$300,Lecturas!$A$6:$A$300,A14)&gt;0,SUMIFS(Lecturas!$I$6:$I$300,Lecturas!$A$6:$A$300,A14)/SUMIFS(Lecturas!$H$6:$H$300,Lecturas!$A$6:$A$300,A14),N14)</f>
        <v>0</v>
      </c>
      <c r="R14" s="18" t="s">
        <v>71</v>
      </c>
      <c r="S14" s="18" t="s">
        <v>71</v>
      </c>
      <c r="T14" s="24" t="n">
        <f aca="false">IFERROR(AVERAGEIFS(Registro!$D$6:$D$500,Registro!$C$6:$C$500,A14),0)</f>
        <v>0</v>
      </c>
      <c r="U14" s="12" t="n">
        <f aca="false">0.35*O14+0.2*P14+0.45*Q14</f>
        <v>0</v>
      </c>
      <c r="V14" s="18" t="n">
        <v>15</v>
      </c>
      <c r="W14" s="18" t="n">
        <v>0</v>
      </c>
    </row>
    <row r="15" customFormat="false" ht="15" hidden="false" customHeight="false" outlineLevel="0" collapsed="false">
      <c r="A15" s="3" t="s">
        <v>107</v>
      </c>
      <c r="D15" s="3" t="n">
        <f aca="false">SUM(D5:D14)</f>
        <v>286</v>
      </c>
      <c r="E15" s="3" t="n">
        <f aca="false">SUM(E5:E14)</f>
        <v>188</v>
      </c>
      <c r="U15" s="12" t="n">
        <f aca="false">AVERAGE(U5:U14)</f>
        <v>0</v>
      </c>
      <c r="V15" s="3" t="n">
        <f aca="false">SUM(V5:V14)</f>
        <v>141</v>
      </c>
      <c r="W15" s="3" t="n">
        <f aca="false">SUM(W5:W14)</f>
        <v>0</v>
      </c>
    </row>
    <row r="17" customFormat="false" ht="15" hidden="false" customHeight="false" outlineLevel="0" collapsed="false">
      <c r="A17" s="2" t="s">
        <v>141</v>
      </c>
    </row>
  </sheetData>
  <dataValidations count="2">
    <dataValidation allowBlank="true" errorStyle="stop" operator="between" showDropDown="false" showErrorMessage="false" showInputMessage="false" sqref="J5:J14 R5:S14" type="list">
      <formula1>"Sí,No"</formula1>
      <formula2>0</formula2>
    </dataValidation>
    <dataValidation allowBlank="true" errorStyle="stop" operator="between" showDropDown="false" showErrorMessage="false" showInputMessage="false" sqref="L5:N1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4" customFormat="false" ht="23.85" hidden="false" customHeight="false" outlineLevel="0" collapsed="false">
      <c r="A4" s="15" t="s">
        <v>63</v>
      </c>
      <c r="B4" s="15" t="s">
        <v>144</v>
      </c>
      <c r="C4" s="15" t="s">
        <v>145</v>
      </c>
      <c r="D4" s="15" t="s">
        <v>146</v>
      </c>
      <c r="E4" s="15" t="s">
        <v>147</v>
      </c>
      <c r="F4" s="15" t="s">
        <v>148</v>
      </c>
      <c r="G4" s="15" t="s">
        <v>149</v>
      </c>
      <c r="H4" s="15" t="s">
        <v>150</v>
      </c>
      <c r="I4" s="15" t="s">
        <v>151</v>
      </c>
      <c r="J4" s="15" t="s">
        <v>152</v>
      </c>
      <c r="K4" s="15" t="s">
        <v>51</v>
      </c>
    </row>
    <row r="5" customFormat="false" ht="15" hidden="false" customHeight="false" outlineLevel="0" collapsed="false">
      <c r="A5" s="27" t="s">
        <v>153</v>
      </c>
      <c r="B5" s="27" t="n">
        <v>1</v>
      </c>
      <c r="C5" s="27" t="s">
        <v>154</v>
      </c>
      <c r="D5" s="27" t="n">
        <v>40</v>
      </c>
      <c r="E5" s="27" t="n">
        <v>33</v>
      </c>
      <c r="F5" s="27" t="s">
        <v>81</v>
      </c>
      <c r="G5" s="27" t="s">
        <v>71</v>
      </c>
      <c r="H5" s="27" t="n">
        <v>20</v>
      </c>
      <c r="I5" s="27" t="n">
        <v>12</v>
      </c>
      <c r="J5" s="28" t="n">
        <v>46346</v>
      </c>
      <c r="K5" s="27" t="s">
        <v>155</v>
      </c>
    </row>
    <row r="6" customFormat="false" ht="15" hidden="false" customHeight="fals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4"/>
      <c r="K6" s="18"/>
    </row>
    <row r="7" customFormat="false" ht="15" hidden="false" customHeight="fals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4"/>
      <c r="K7" s="18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4"/>
      <c r="K8" s="18"/>
    </row>
    <row r="9" customFormat="false" ht="15" hidden="false" customHeight="fals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4"/>
      <c r="K9" s="18"/>
    </row>
    <row r="10" customFormat="false" ht="15" hidden="false" customHeight="fals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4"/>
      <c r="K10" s="18"/>
    </row>
    <row r="11" customFormat="false" ht="15" hidden="false" customHeight="fals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4"/>
      <c r="K11" s="18"/>
    </row>
    <row r="12" customFormat="false" ht="15" hidden="false" customHeight="fals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4"/>
      <c r="K12" s="18"/>
    </row>
    <row r="13" customFormat="false" ht="15" hidden="false" customHeight="fals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4"/>
      <c r="K13" s="18"/>
    </row>
    <row r="14" customFormat="false" ht="15" hidden="false" customHeight="fals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4"/>
      <c r="K14" s="18"/>
    </row>
    <row r="15" customFormat="false" ht="15" hidden="false" customHeight="false" outlineLevel="0" collapsed="false">
      <c r="A15" s="18"/>
      <c r="B15" s="18"/>
      <c r="C15" s="18"/>
      <c r="D15" s="18"/>
      <c r="E15" s="18"/>
      <c r="F15" s="18"/>
      <c r="G15" s="18"/>
      <c r="H15" s="18"/>
      <c r="I15" s="18"/>
      <c r="J15" s="4"/>
      <c r="K15" s="18"/>
    </row>
    <row r="16" customFormat="false" ht="15" hidden="false" customHeight="false" outlineLevel="0" collapsed="false">
      <c r="A16" s="18"/>
      <c r="B16" s="18"/>
      <c r="C16" s="18"/>
      <c r="D16" s="18"/>
      <c r="E16" s="18"/>
      <c r="F16" s="18"/>
      <c r="G16" s="18"/>
      <c r="H16" s="18"/>
      <c r="I16" s="18"/>
      <c r="J16" s="4"/>
      <c r="K16" s="18"/>
    </row>
    <row r="17" customFormat="false" ht="15" hidden="false" customHeight="false" outlineLevel="0" collapsed="false">
      <c r="A17" s="18"/>
      <c r="B17" s="18"/>
      <c r="C17" s="18"/>
      <c r="D17" s="18"/>
      <c r="E17" s="18"/>
      <c r="F17" s="18"/>
      <c r="G17" s="18"/>
      <c r="H17" s="18"/>
      <c r="I17" s="18"/>
      <c r="J17" s="4"/>
      <c r="K17" s="18"/>
    </row>
    <row r="18" customFormat="false" ht="15" hidden="false" customHeight="false" outlineLevel="0" collapsed="false">
      <c r="A18" s="18"/>
      <c r="B18" s="18"/>
      <c r="C18" s="18"/>
      <c r="D18" s="18"/>
      <c r="E18" s="18"/>
      <c r="F18" s="18"/>
      <c r="G18" s="18"/>
      <c r="H18" s="18"/>
      <c r="I18" s="18"/>
      <c r="J18" s="4"/>
      <c r="K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/>
      <c r="J19" s="4"/>
      <c r="K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4"/>
      <c r="K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4"/>
      <c r="K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4"/>
      <c r="K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4"/>
      <c r="K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4"/>
      <c r="K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4"/>
      <c r="K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4"/>
      <c r="K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4"/>
      <c r="K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4"/>
      <c r="K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4"/>
      <c r="K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4"/>
      <c r="K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4"/>
      <c r="K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4"/>
      <c r="K32" s="18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4"/>
      <c r="K33" s="18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4"/>
      <c r="K34" s="18"/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4"/>
      <c r="K35" s="18"/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4"/>
      <c r="K36" s="18"/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4"/>
      <c r="K37" s="18"/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4"/>
      <c r="K38" s="18"/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4"/>
      <c r="K39" s="18"/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4"/>
      <c r="K40" s="18"/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4"/>
      <c r="K41" s="18"/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4"/>
      <c r="K42" s="18"/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4"/>
      <c r="K43" s="18"/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4"/>
      <c r="K44" s="18"/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4"/>
      <c r="K45" s="18"/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4"/>
      <c r="K46" s="18"/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4"/>
      <c r="K47" s="18"/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4"/>
      <c r="K48" s="18"/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4"/>
      <c r="K49" s="18"/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4"/>
      <c r="K50" s="18"/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4"/>
      <c r="K51" s="18"/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4"/>
      <c r="K52" s="18"/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4"/>
      <c r="K53" s="18"/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4"/>
      <c r="K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4"/>
      <c r="K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4"/>
      <c r="K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4"/>
      <c r="K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4"/>
      <c r="K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4"/>
      <c r="K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4"/>
      <c r="K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4"/>
      <c r="K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4"/>
      <c r="K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4"/>
      <c r="K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4"/>
      <c r="K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4"/>
      <c r="K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4"/>
      <c r="K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4"/>
      <c r="K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4"/>
      <c r="K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4"/>
      <c r="K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4"/>
      <c r="K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4"/>
      <c r="K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4"/>
      <c r="K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4"/>
      <c r="K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4"/>
      <c r="K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4"/>
      <c r="K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4"/>
      <c r="K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4"/>
      <c r="K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4"/>
      <c r="K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4"/>
      <c r="K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4"/>
      <c r="K80" s="18"/>
    </row>
    <row r="81" customFormat="false" ht="15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4"/>
      <c r="K81" s="18"/>
    </row>
    <row r="82" customFormat="false" ht="15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4"/>
      <c r="K82" s="18"/>
    </row>
    <row r="83" customFormat="false" ht="15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4"/>
      <c r="K83" s="18"/>
    </row>
    <row r="84" customFormat="false" ht="15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4"/>
      <c r="K84" s="18"/>
    </row>
    <row r="85" customFormat="false" ht="15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4"/>
      <c r="K85" s="18"/>
    </row>
    <row r="86" customFormat="false" ht="15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4"/>
      <c r="K86" s="18"/>
    </row>
    <row r="87" customFormat="false" ht="15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4"/>
      <c r="K87" s="18"/>
    </row>
    <row r="88" customFormat="false" ht="15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4"/>
      <c r="K88" s="18"/>
    </row>
    <row r="89" customFormat="false" ht="15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4"/>
      <c r="K89" s="18"/>
    </row>
    <row r="90" customFormat="false" ht="15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4"/>
      <c r="K90" s="18"/>
    </row>
    <row r="91" customFormat="false" ht="15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4"/>
      <c r="K91" s="18"/>
    </row>
    <row r="92" customFormat="false" ht="15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4"/>
      <c r="K92" s="18"/>
    </row>
    <row r="93" customFormat="false" ht="15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4"/>
      <c r="K93" s="18"/>
    </row>
    <row r="94" customFormat="false" ht="15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4"/>
      <c r="K94" s="18"/>
    </row>
    <row r="95" customFormat="false" ht="15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4"/>
      <c r="K95" s="18"/>
    </row>
    <row r="96" customFormat="false" ht="15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4"/>
      <c r="K96" s="18"/>
    </row>
    <row r="97" customFormat="false" ht="15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4"/>
      <c r="K97" s="18"/>
    </row>
    <row r="98" customFormat="false" ht="15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4"/>
      <c r="K98" s="18"/>
    </row>
    <row r="99" customFormat="false" ht="15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4"/>
      <c r="K99" s="18"/>
    </row>
    <row r="100" customFormat="false" ht="15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4"/>
      <c r="K100" s="18"/>
    </row>
    <row r="101" customFormat="false" ht="15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4"/>
      <c r="K101" s="18"/>
    </row>
    <row r="102" customFormat="false" ht="15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4"/>
      <c r="K102" s="18"/>
    </row>
    <row r="103" customFormat="false" ht="15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4"/>
      <c r="K103" s="18"/>
    </row>
    <row r="104" customFormat="false" ht="15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4"/>
      <c r="K104" s="18"/>
    </row>
    <row r="105" customFormat="false" ht="15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4"/>
      <c r="K105" s="18"/>
    </row>
    <row r="106" customFormat="false" ht="15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4"/>
      <c r="K106" s="18"/>
    </row>
    <row r="107" customFormat="false" ht="15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4"/>
      <c r="K107" s="18"/>
    </row>
    <row r="108" customFormat="false" ht="15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4"/>
      <c r="K108" s="18"/>
    </row>
    <row r="109" customFormat="false" ht="15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4"/>
      <c r="K109" s="18"/>
    </row>
    <row r="110" customFormat="false" ht="15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4"/>
      <c r="K110" s="18"/>
    </row>
    <row r="111" customFormat="false" ht="15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4"/>
      <c r="K111" s="18"/>
    </row>
    <row r="112" customFormat="false" ht="15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4"/>
      <c r="K112" s="18"/>
    </row>
    <row r="113" customFormat="false" ht="15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4"/>
      <c r="K113" s="18"/>
    </row>
    <row r="114" customFormat="false" ht="15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4"/>
      <c r="K114" s="18"/>
    </row>
    <row r="115" customFormat="false" ht="15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4"/>
      <c r="K115" s="18"/>
    </row>
    <row r="116" customFormat="false" ht="15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4"/>
      <c r="K116" s="18"/>
    </row>
    <row r="117" customFormat="false" ht="15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4"/>
      <c r="K117" s="18"/>
    </row>
    <row r="118" customFormat="false" ht="15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4"/>
      <c r="K118" s="18"/>
    </row>
    <row r="119" customFormat="false" ht="15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4"/>
      <c r="K119" s="18"/>
    </row>
    <row r="120" customFormat="false" ht="15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4"/>
      <c r="K120" s="18"/>
    </row>
    <row r="121" customFormat="false" ht="15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4"/>
      <c r="K121" s="18"/>
    </row>
    <row r="122" customFormat="false" ht="15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4"/>
      <c r="K122" s="18"/>
    </row>
    <row r="123" customFormat="false" ht="15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4"/>
      <c r="K123" s="18"/>
    </row>
    <row r="124" customFormat="false" ht="15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4"/>
      <c r="K124" s="18"/>
    </row>
    <row r="125" customFormat="false" ht="15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4"/>
      <c r="K125" s="18"/>
    </row>
    <row r="126" customFormat="false" ht="15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4"/>
      <c r="K126" s="18"/>
    </row>
    <row r="127" customFormat="false" ht="15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4"/>
      <c r="K127" s="18"/>
    </row>
    <row r="128" customFormat="false" ht="15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4"/>
      <c r="K128" s="18"/>
    </row>
    <row r="129" customFormat="false" ht="15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4"/>
      <c r="K129" s="18"/>
    </row>
    <row r="130" customFormat="false" ht="15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4"/>
      <c r="K130" s="18"/>
    </row>
    <row r="131" customFormat="false" ht="15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4"/>
      <c r="K131" s="18"/>
    </row>
    <row r="132" customFormat="false" ht="15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4"/>
      <c r="K132" s="18"/>
    </row>
    <row r="133" customFormat="false" ht="15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4"/>
      <c r="K133" s="18"/>
    </row>
    <row r="134" customFormat="false" ht="15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4"/>
      <c r="K134" s="18"/>
    </row>
    <row r="135" customFormat="false" ht="15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4"/>
      <c r="K135" s="18"/>
    </row>
    <row r="136" customFormat="false" ht="15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4"/>
      <c r="K136" s="18"/>
    </row>
    <row r="137" customFormat="false" ht="15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4"/>
      <c r="K137" s="18"/>
    </row>
    <row r="138" customFormat="false" ht="15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4"/>
      <c r="K138" s="18"/>
    </row>
    <row r="139" customFormat="false" ht="15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4"/>
      <c r="K139" s="18"/>
    </row>
    <row r="140" customFormat="false" ht="15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4"/>
      <c r="K140" s="18"/>
    </row>
    <row r="141" customFormat="false" ht="15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4"/>
      <c r="K141" s="18"/>
    </row>
    <row r="142" customFormat="false" ht="15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4"/>
      <c r="K142" s="18"/>
    </row>
    <row r="143" customFormat="false" ht="15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4"/>
      <c r="K143" s="18"/>
    </row>
    <row r="144" customFormat="false" ht="15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4"/>
      <c r="K144" s="18"/>
    </row>
    <row r="145" customFormat="false" ht="15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4"/>
      <c r="K145" s="18"/>
    </row>
    <row r="146" customFormat="false" ht="15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4"/>
      <c r="K146" s="18"/>
    </row>
    <row r="147" customFormat="false" ht="15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4"/>
      <c r="K147" s="18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4"/>
      <c r="K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4"/>
      <c r="K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4"/>
      <c r="K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4"/>
      <c r="K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4"/>
      <c r="K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4"/>
      <c r="K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4"/>
      <c r="K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4"/>
      <c r="K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4"/>
      <c r="K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4"/>
      <c r="K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4"/>
      <c r="K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4"/>
      <c r="K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4"/>
      <c r="K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4"/>
      <c r="K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4"/>
      <c r="K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4"/>
      <c r="K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4"/>
      <c r="K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4"/>
      <c r="K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4"/>
      <c r="K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4"/>
      <c r="K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4"/>
      <c r="K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4"/>
      <c r="K169" s="18"/>
    </row>
    <row r="170" customFormat="false" ht="15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4"/>
      <c r="K170" s="18"/>
    </row>
    <row r="171" customFormat="false" ht="15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4"/>
      <c r="K171" s="18"/>
    </row>
    <row r="172" customFormat="false" ht="15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4"/>
      <c r="K172" s="18"/>
    </row>
    <row r="173" customFormat="false" ht="15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4"/>
      <c r="K173" s="18"/>
    </row>
    <row r="174" customFormat="false" ht="15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4"/>
      <c r="K174" s="18"/>
    </row>
    <row r="175" customFormat="false" ht="15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4"/>
      <c r="K175" s="18"/>
    </row>
    <row r="176" customFormat="false" ht="15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4"/>
      <c r="K176" s="18"/>
    </row>
    <row r="177" customFormat="false" ht="15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4"/>
      <c r="K177" s="18"/>
    </row>
    <row r="178" customFormat="false" ht="15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4"/>
      <c r="K178" s="18"/>
    </row>
    <row r="179" customFormat="false" ht="15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4"/>
      <c r="K179" s="18"/>
    </row>
    <row r="180" customFormat="false" ht="15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4"/>
      <c r="K180" s="18"/>
    </row>
    <row r="181" customFormat="false" ht="15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4"/>
      <c r="K181" s="18"/>
    </row>
    <row r="182" customFormat="false" ht="15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4"/>
      <c r="K182" s="18"/>
    </row>
    <row r="183" customFormat="false" ht="15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4"/>
      <c r="K183" s="18"/>
    </row>
    <row r="184" customFormat="false" ht="15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4"/>
      <c r="K184" s="18"/>
    </row>
    <row r="185" customFormat="false" ht="15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4"/>
      <c r="K185" s="18"/>
    </row>
    <row r="186" customFormat="false" ht="15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4"/>
      <c r="K186" s="18"/>
    </row>
    <row r="187" customFormat="false" ht="15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4"/>
      <c r="K187" s="18"/>
    </row>
    <row r="188" customFormat="false" ht="15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4"/>
      <c r="K188" s="18"/>
    </row>
    <row r="189" customFormat="false" ht="15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4"/>
      <c r="K189" s="18"/>
    </row>
    <row r="190" customFormat="false" ht="15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4"/>
      <c r="K190" s="18"/>
    </row>
    <row r="191" customFormat="false" ht="15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4"/>
      <c r="K191" s="18"/>
    </row>
    <row r="192" customFormat="false" ht="15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4"/>
      <c r="K192" s="18"/>
    </row>
    <row r="193" customFormat="false" ht="15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4"/>
      <c r="K193" s="18"/>
    </row>
    <row r="194" customFormat="false" ht="15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4"/>
      <c r="K194" s="18"/>
    </row>
    <row r="195" customFormat="false" ht="15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4"/>
      <c r="K195" s="18"/>
    </row>
    <row r="196" customFormat="false" ht="15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4"/>
      <c r="K196" s="18"/>
    </row>
    <row r="197" customFormat="false" ht="15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4"/>
      <c r="K197" s="18"/>
    </row>
    <row r="198" customFormat="false" ht="15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4"/>
      <c r="K198" s="18"/>
    </row>
    <row r="199" customFormat="false" ht="15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4"/>
      <c r="K199" s="18"/>
    </row>
    <row r="200" customFormat="false" ht="15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4"/>
      <c r="K200" s="18"/>
    </row>
    <row r="201" customFormat="false" ht="15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4"/>
      <c r="K201" s="18"/>
    </row>
    <row r="202" customFormat="false" ht="15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4"/>
      <c r="K202" s="18"/>
    </row>
    <row r="203" customFormat="false" ht="15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4"/>
      <c r="K203" s="18"/>
    </row>
    <row r="204" customFormat="false" ht="15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4"/>
      <c r="K204" s="18"/>
    </row>
    <row r="205" customFormat="false" ht="15" hidden="false" customHeight="fals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4"/>
      <c r="K205" s="18"/>
    </row>
    <row r="206" customFormat="false" ht="15" hidden="false" customHeight="fals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4"/>
      <c r="K206" s="18"/>
    </row>
    <row r="207" customFormat="false" ht="15" hidden="false" customHeight="fals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4"/>
      <c r="K207" s="18"/>
    </row>
    <row r="208" customFormat="false" ht="15" hidden="false" customHeight="fals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4"/>
      <c r="K208" s="18"/>
    </row>
    <row r="209" customFormat="false" ht="15" hidden="false" customHeight="fals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4"/>
      <c r="K209" s="18"/>
    </row>
    <row r="210" customFormat="false" ht="15" hidden="false" customHeight="fals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4"/>
      <c r="K210" s="18"/>
    </row>
    <row r="211" customFormat="false" ht="15" hidden="false" customHeight="fals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4"/>
      <c r="K211" s="18"/>
    </row>
    <row r="212" customFormat="false" ht="15" hidden="false" customHeight="fals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4"/>
      <c r="K212" s="18"/>
    </row>
    <row r="213" customFormat="false" ht="15" hidden="false" customHeight="fals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4"/>
      <c r="K213" s="18"/>
    </row>
    <row r="214" customFormat="false" ht="15" hidden="false" customHeight="fals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4"/>
      <c r="K214" s="18"/>
    </row>
    <row r="215" customFormat="false" ht="15" hidden="false" customHeight="fals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4"/>
      <c r="K215" s="18"/>
    </row>
    <row r="216" customFormat="false" ht="15" hidden="false" customHeight="fals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4"/>
      <c r="K216" s="18"/>
    </row>
    <row r="217" customFormat="false" ht="15" hidden="false" customHeight="fals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4"/>
      <c r="K217" s="18"/>
    </row>
    <row r="218" customFormat="false" ht="15" hidden="false" customHeight="fals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4"/>
      <c r="K218" s="18"/>
    </row>
    <row r="219" customFormat="false" ht="15" hidden="false" customHeight="fals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4"/>
      <c r="K219" s="18"/>
    </row>
    <row r="220" customFormat="false" ht="15" hidden="false" customHeight="fals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4"/>
      <c r="K220" s="18"/>
    </row>
    <row r="221" customFormat="false" ht="15" hidden="false" customHeight="fals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4"/>
      <c r="K221" s="18"/>
    </row>
    <row r="222" customFormat="false" ht="15" hidden="false" customHeight="fals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4"/>
      <c r="K222" s="18"/>
    </row>
    <row r="223" customFormat="false" ht="15" hidden="false" customHeight="fals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4"/>
      <c r="K223" s="18"/>
    </row>
    <row r="224" customFormat="false" ht="15" hidden="false" customHeight="fals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4"/>
      <c r="K224" s="18"/>
    </row>
    <row r="225" customFormat="false" ht="15" hidden="false" customHeight="fals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4"/>
      <c r="K225" s="18"/>
    </row>
    <row r="226" customFormat="false" ht="15" hidden="false" customHeight="fals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4"/>
      <c r="K226" s="18"/>
    </row>
    <row r="227" customFormat="false" ht="15" hidden="false" customHeight="fals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4"/>
      <c r="K227" s="18"/>
    </row>
    <row r="228" customFormat="false" ht="15" hidden="false" customHeight="fals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4"/>
      <c r="K228" s="18"/>
    </row>
    <row r="229" customFormat="false" ht="15" hidden="false" customHeight="fals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4"/>
      <c r="K229" s="18"/>
    </row>
    <row r="230" customFormat="false" ht="15" hidden="false" customHeight="fals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4"/>
      <c r="K230" s="18"/>
    </row>
    <row r="231" customFormat="false" ht="15" hidden="false" customHeight="fals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4"/>
      <c r="K231" s="18"/>
    </row>
    <row r="232" customFormat="false" ht="15" hidden="false" customHeight="fals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4"/>
      <c r="K232" s="18"/>
    </row>
    <row r="233" customFormat="false" ht="15" hidden="false" customHeight="fals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4"/>
      <c r="K233" s="18"/>
    </row>
    <row r="234" customFormat="false" ht="15" hidden="false" customHeight="fals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4"/>
      <c r="K234" s="18"/>
    </row>
    <row r="235" customFormat="false" ht="15" hidden="false" customHeight="fals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4"/>
      <c r="K235" s="18"/>
    </row>
    <row r="236" customFormat="false" ht="15" hidden="false" customHeight="fals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4"/>
      <c r="K236" s="18"/>
    </row>
    <row r="237" customFormat="false" ht="15" hidden="false" customHeight="fals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4"/>
      <c r="K237" s="18"/>
    </row>
    <row r="238" customFormat="false" ht="15" hidden="false" customHeight="fals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4"/>
      <c r="K238" s="18"/>
    </row>
    <row r="239" customFormat="false" ht="15" hidden="false" customHeight="fals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4"/>
      <c r="K239" s="18"/>
    </row>
    <row r="240" customFormat="false" ht="15" hidden="false" customHeight="fals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4"/>
      <c r="K240" s="18"/>
    </row>
    <row r="241" customFormat="false" ht="15" hidden="false" customHeight="fals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4"/>
      <c r="K241" s="18"/>
    </row>
    <row r="242" customFormat="false" ht="15" hidden="false" customHeight="fals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4"/>
      <c r="K242" s="18"/>
    </row>
    <row r="243" customFormat="false" ht="15" hidden="false" customHeight="fals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4"/>
      <c r="K243" s="18"/>
    </row>
    <row r="244" customFormat="false" ht="15" hidden="false" customHeight="fals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4"/>
      <c r="K244" s="18"/>
    </row>
    <row r="245" customFormat="false" ht="15" hidden="false" customHeight="fals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4"/>
      <c r="K245" s="18"/>
    </row>
    <row r="246" customFormat="false" ht="15" hidden="false" customHeight="fals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4"/>
      <c r="K246" s="18"/>
    </row>
    <row r="247" customFormat="false" ht="15" hidden="false" customHeight="fals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4"/>
      <c r="K247" s="18"/>
    </row>
    <row r="248" customFormat="false" ht="15" hidden="false" customHeight="fals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4"/>
      <c r="K248" s="18"/>
    </row>
    <row r="249" customFormat="false" ht="15" hidden="false" customHeight="fals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4"/>
      <c r="K249" s="18"/>
    </row>
    <row r="250" customFormat="false" ht="15" hidden="false" customHeight="fals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4"/>
      <c r="K250" s="18"/>
    </row>
    <row r="251" customFormat="false" ht="15" hidden="false" customHeight="fals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4"/>
      <c r="K251" s="18"/>
    </row>
    <row r="252" customFormat="false" ht="15" hidden="false" customHeight="fals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4"/>
      <c r="K252" s="18"/>
    </row>
    <row r="253" customFormat="false" ht="15" hidden="false" customHeight="fals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4"/>
      <c r="K253" s="18"/>
    </row>
    <row r="254" customFormat="false" ht="15" hidden="false" customHeight="fals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4"/>
      <c r="K254" s="18"/>
    </row>
    <row r="255" customFormat="false" ht="15" hidden="false" customHeight="fals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4"/>
      <c r="K255" s="18"/>
    </row>
    <row r="256" customFormat="false" ht="15" hidden="false" customHeight="fals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4"/>
      <c r="K256" s="18"/>
    </row>
    <row r="257" customFormat="false" ht="15" hidden="false" customHeight="fals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4"/>
      <c r="K257" s="18"/>
    </row>
    <row r="258" customFormat="false" ht="15" hidden="false" customHeight="fals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4"/>
      <c r="K258" s="18"/>
    </row>
    <row r="259" customFormat="false" ht="15" hidden="false" customHeight="fals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4"/>
      <c r="K259" s="18"/>
    </row>
    <row r="260" customFormat="false" ht="15" hidden="false" customHeight="fals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4"/>
      <c r="K260" s="18"/>
    </row>
    <row r="261" customFormat="false" ht="15" hidden="false" customHeight="fals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4"/>
      <c r="K261" s="18"/>
    </row>
    <row r="262" customFormat="false" ht="15" hidden="false" customHeight="fals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4"/>
      <c r="K262" s="18"/>
    </row>
    <row r="263" customFormat="false" ht="15" hidden="false" customHeight="fals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4"/>
      <c r="K263" s="18"/>
    </row>
    <row r="264" customFormat="false" ht="15" hidden="false" customHeight="fals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4"/>
      <c r="K264" s="18"/>
    </row>
    <row r="265" customFormat="false" ht="15" hidden="false" customHeight="fals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4"/>
      <c r="K265" s="18"/>
    </row>
    <row r="266" customFormat="false" ht="15" hidden="false" customHeight="fals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4"/>
      <c r="K266" s="18"/>
    </row>
    <row r="267" customFormat="false" ht="15" hidden="false" customHeight="fals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4"/>
      <c r="K267" s="18"/>
    </row>
    <row r="268" customFormat="false" ht="15" hidden="false" customHeight="fals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4"/>
      <c r="K268" s="18"/>
    </row>
    <row r="269" customFormat="false" ht="15" hidden="false" customHeight="fals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4"/>
      <c r="K269" s="18"/>
    </row>
    <row r="270" customFormat="false" ht="15" hidden="false" customHeight="fals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4"/>
      <c r="K270" s="18"/>
    </row>
    <row r="271" customFormat="false" ht="15" hidden="false" customHeight="fals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4"/>
      <c r="K271" s="18"/>
    </row>
    <row r="272" customFormat="false" ht="15" hidden="false" customHeight="fals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4"/>
      <c r="K272" s="18"/>
    </row>
    <row r="273" customFormat="false" ht="15" hidden="false" customHeight="fals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4"/>
      <c r="K273" s="18"/>
    </row>
    <row r="274" customFormat="false" ht="15" hidden="false" customHeight="fals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4"/>
      <c r="K274" s="18"/>
    </row>
    <row r="275" customFormat="false" ht="15" hidden="false" customHeight="fals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4"/>
      <c r="K275" s="18"/>
    </row>
    <row r="276" customFormat="false" ht="15" hidden="false" customHeight="fals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4"/>
      <c r="K276" s="18"/>
    </row>
    <row r="277" customFormat="false" ht="15" hidden="false" customHeight="fals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4"/>
      <c r="K277" s="18"/>
    </row>
    <row r="278" customFormat="false" ht="15" hidden="false" customHeight="fals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4"/>
      <c r="K278" s="18"/>
    </row>
    <row r="279" customFormat="false" ht="15" hidden="false" customHeight="fals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4"/>
      <c r="K279" s="18"/>
    </row>
    <row r="280" customFormat="false" ht="15" hidden="false" customHeight="fals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4"/>
      <c r="K280" s="18"/>
    </row>
    <row r="281" customFormat="false" ht="15" hidden="false" customHeight="fals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4"/>
      <c r="K281" s="18"/>
    </row>
    <row r="282" customFormat="false" ht="15" hidden="false" customHeight="fals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4"/>
      <c r="K282" s="18"/>
    </row>
    <row r="283" customFormat="false" ht="15" hidden="false" customHeight="fals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4"/>
      <c r="K283" s="18"/>
    </row>
    <row r="284" customFormat="false" ht="15" hidden="false" customHeight="fals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4"/>
      <c r="K284" s="18"/>
    </row>
    <row r="285" customFormat="false" ht="15" hidden="false" customHeight="fals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4"/>
      <c r="K285" s="18"/>
    </row>
    <row r="286" customFormat="false" ht="15" hidden="false" customHeight="fals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4"/>
      <c r="K286" s="18"/>
    </row>
    <row r="287" customFormat="false" ht="15" hidden="false" customHeight="fals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4"/>
      <c r="K287" s="18"/>
    </row>
    <row r="288" customFormat="false" ht="15" hidden="false" customHeight="fals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4"/>
      <c r="K288" s="18"/>
    </row>
    <row r="289" customFormat="false" ht="15" hidden="false" customHeight="fals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4"/>
      <c r="K289" s="18"/>
    </row>
    <row r="290" customFormat="false" ht="15" hidden="false" customHeight="fals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4"/>
      <c r="K290" s="18"/>
    </row>
    <row r="291" customFormat="false" ht="15" hidden="false" customHeight="fals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4"/>
      <c r="K291" s="18"/>
    </row>
    <row r="292" customFormat="false" ht="15" hidden="false" customHeight="fals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4"/>
      <c r="K292" s="18"/>
    </row>
    <row r="293" customFormat="false" ht="15" hidden="false" customHeight="fals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4"/>
      <c r="K293" s="18"/>
    </row>
    <row r="294" customFormat="false" ht="15" hidden="false" customHeight="fals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4"/>
      <c r="K294" s="18"/>
    </row>
    <row r="295" customFormat="false" ht="15" hidden="false" customHeight="fals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4"/>
      <c r="K295" s="18"/>
    </row>
    <row r="296" customFormat="false" ht="15" hidden="false" customHeight="fals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4"/>
      <c r="K296" s="18"/>
    </row>
    <row r="297" customFormat="false" ht="15" hidden="false" customHeight="fals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4"/>
      <c r="K297" s="18"/>
    </row>
    <row r="298" customFormat="false" ht="15" hidden="false" customHeight="fals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4"/>
      <c r="K298" s="18"/>
    </row>
    <row r="299" customFormat="false" ht="15" hidden="false" customHeight="fals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4"/>
      <c r="K299" s="18"/>
    </row>
    <row r="300" customFormat="false" ht="15" hidden="false" customHeight="fals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4"/>
      <c r="K300" s="18"/>
    </row>
  </sheetData>
  <dataValidations count="2">
    <dataValidation allowBlank="true" errorStyle="stop" operator="between" showDropDown="false" showErrorMessage="false" showInputMessage="false" sqref="A6:A300" type="list">
      <formula1>"Ética,Quant,Economía,FSA,Corporate Issuers,Equity,Renta Fija,Derivados,Alternativos,Portafolio"</formula1>
      <formula2>0</formula2>
    </dataValidation>
    <dataValidation allowBlank="true" errorStyle="stop" operator="between" showDropDown="false" showErrorMessage="false" showInputMessage="false" sqref="F6:G30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4" customFormat="false" ht="15" hidden="false" customHeight="false" outlineLevel="0" collapsed="false">
      <c r="A4" s="15" t="s">
        <v>40</v>
      </c>
      <c r="B4" s="15" t="s">
        <v>42</v>
      </c>
      <c r="C4" s="15" t="s">
        <v>63</v>
      </c>
      <c r="D4" s="15" t="s">
        <v>158</v>
      </c>
      <c r="E4" s="15" t="s">
        <v>159</v>
      </c>
      <c r="F4" s="15" t="s">
        <v>51</v>
      </c>
    </row>
    <row r="5" customFormat="false" ht="15" hidden="false" customHeight="false" outlineLevel="0" collapsed="false">
      <c r="A5" s="28" t="n">
        <v>46338</v>
      </c>
      <c r="B5" s="27" t="s">
        <v>160</v>
      </c>
      <c r="C5" s="27" t="s">
        <v>74</v>
      </c>
      <c r="D5" s="29" t="n">
        <v>0.55</v>
      </c>
      <c r="E5" s="27" t="n">
        <v>20</v>
      </c>
      <c r="F5" s="27" t="s">
        <v>161</v>
      </c>
    </row>
    <row r="6" customFormat="false" ht="15" hidden="false" customHeight="false" outlineLevel="0" collapsed="false">
      <c r="A6" s="4"/>
      <c r="B6" s="18"/>
      <c r="C6" s="18"/>
      <c r="D6" s="26"/>
      <c r="E6" s="18"/>
      <c r="F6" s="18"/>
    </row>
    <row r="7" customFormat="false" ht="15" hidden="false" customHeight="false" outlineLevel="0" collapsed="false">
      <c r="A7" s="4"/>
      <c r="B7" s="18"/>
      <c r="C7" s="18"/>
      <c r="D7" s="26"/>
      <c r="E7" s="18"/>
      <c r="F7" s="18"/>
    </row>
    <row r="8" customFormat="false" ht="15" hidden="false" customHeight="false" outlineLevel="0" collapsed="false">
      <c r="A8" s="4"/>
      <c r="B8" s="18"/>
      <c r="C8" s="18"/>
      <c r="D8" s="26"/>
      <c r="E8" s="18"/>
      <c r="F8" s="18"/>
    </row>
    <row r="9" customFormat="false" ht="15" hidden="false" customHeight="false" outlineLevel="0" collapsed="false">
      <c r="A9" s="4"/>
      <c r="B9" s="18"/>
      <c r="C9" s="18"/>
      <c r="D9" s="26"/>
      <c r="E9" s="18"/>
      <c r="F9" s="18"/>
    </row>
    <row r="10" customFormat="false" ht="15" hidden="false" customHeight="false" outlineLevel="0" collapsed="false">
      <c r="A10" s="4"/>
      <c r="B10" s="18"/>
      <c r="C10" s="18"/>
      <c r="D10" s="26"/>
      <c r="E10" s="18"/>
      <c r="F10" s="18"/>
    </row>
    <row r="11" customFormat="false" ht="15" hidden="false" customHeight="false" outlineLevel="0" collapsed="false">
      <c r="A11" s="4"/>
      <c r="B11" s="18"/>
      <c r="C11" s="18"/>
      <c r="D11" s="26"/>
      <c r="E11" s="18"/>
      <c r="F11" s="18"/>
    </row>
    <row r="12" customFormat="false" ht="15" hidden="false" customHeight="false" outlineLevel="0" collapsed="false">
      <c r="A12" s="4"/>
      <c r="B12" s="18"/>
      <c r="C12" s="18"/>
      <c r="D12" s="26"/>
      <c r="E12" s="18"/>
      <c r="F12" s="18"/>
    </row>
    <row r="13" customFormat="false" ht="15" hidden="false" customHeight="false" outlineLevel="0" collapsed="false">
      <c r="A13" s="4"/>
      <c r="B13" s="18"/>
      <c r="C13" s="18"/>
      <c r="D13" s="26"/>
      <c r="E13" s="18"/>
      <c r="F13" s="18"/>
    </row>
    <row r="14" customFormat="false" ht="15" hidden="false" customHeight="false" outlineLevel="0" collapsed="false">
      <c r="A14" s="4"/>
      <c r="B14" s="18"/>
      <c r="C14" s="18"/>
      <c r="D14" s="26"/>
      <c r="E14" s="18"/>
      <c r="F14" s="18"/>
    </row>
    <row r="15" customFormat="false" ht="15" hidden="false" customHeight="false" outlineLevel="0" collapsed="false">
      <c r="A15" s="4"/>
      <c r="B15" s="18"/>
      <c r="C15" s="18"/>
      <c r="D15" s="26"/>
      <c r="E15" s="18"/>
      <c r="F15" s="18"/>
    </row>
    <row r="16" customFormat="false" ht="15" hidden="false" customHeight="false" outlineLevel="0" collapsed="false">
      <c r="A16" s="4"/>
      <c r="B16" s="18"/>
      <c r="C16" s="18"/>
      <c r="D16" s="26"/>
      <c r="E16" s="18"/>
      <c r="F16" s="18"/>
    </row>
    <row r="17" customFormat="false" ht="15" hidden="false" customHeight="false" outlineLevel="0" collapsed="false">
      <c r="A17" s="4"/>
      <c r="B17" s="18"/>
      <c r="C17" s="18"/>
      <c r="D17" s="26"/>
      <c r="E17" s="18"/>
      <c r="F17" s="18"/>
    </row>
    <row r="18" customFormat="false" ht="15" hidden="false" customHeight="false" outlineLevel="0" collapsed="false">
      <c r="A18" s="4"/>
      <c r="B18" s="18"/>
      <c r="C18" s="18"/>
      <c r="D18" s="26"/>
      <c r="E18" s="18"/>
      <c r="F18" s="18"/>
    </row>
    <row r="19" customFormat="false" ht="15" hidden="false" customHeight="false" outlineLevel="0" collapsed="false">
      <c r="A19" s="4"/>
      <c r="B19" s="18"/>
      <c r="C19" s="18"/>
      <c r="D19" s="26"/>
      <c r="E19" s="18"/>
      <c r="F19" s="18"/>
    </row>
    <row r="20" customFormat="false" ht="15" hidden="false" customHeight="false" outlineLevel="0" collapsed="false">
      <c r="A20" s="4"/>
      <c r="B20" s="18"/>
      <c r="C20" s="18"/>
      <c r="D20" s="26"/>
      <c r="E20" s="18"/>
      <c r="F20" s="18"/>
    </row>
    <row r="21" customFormat="false" ht="15" hidden="false" customHeight="false" outlineLevel="0" collapsed="false">
      <c r="A21" s="4"/>
      <c r="B21" s="18"/>
      <c r="C21" s="18"/>
      <c r="D21" s="26"/>
      <c r="E21" s="18"/>
      <c r="F21" s="18"/>
    </row>
    <row r="22" customFormat="false" ht="15" hidden="false" customHeight="false" outlineLevel="0" collapsed="false">
      <c r="A22" s="4"/>
      <c r="B22" s="18"/>
      <c r="C22" s="18"/>
      <c r="D22" s="26"/>
      <c r="E22" s="18"/>
      <c r="F22" s="18"/>
    </row>
    <row r="23" customFormat="false" ht="15" hidden="false" customHeight="false" outlineLevel="0" collapsed="false">
      <c r="A23" s="4"/>
      <c r="B23" s="18"/>
      <c r="C23" s="18"/>
      <c r="D23" s="26"/>
      <c r="E23" s="18"/>
      <c r="F23" s="18"/>
    </row>
    <row r="24" customFormat="false" ht="15" hidden="false" customHeight="false" outlineLevel="0" collapsed="false">
      <c r="A24" s="4"/>
      <c r="B24" s="18"/>
      <c r="C24" s="18"/>
      <c r="D24" s="26"/>
      <c r="E24" s="18"/>
      <c r="F24" s="18"/>
    </row>
    <row r="25" customFormat="false" ht="15" hidden="false" customHeight="false" outlineLevel="0" collapsed="false">
      <c r="A25" s="4"/>
      <c r="B25" s="18"/>
      <c r="C25" s="18"/>
      <c r="D25" s="26"/>
      <c r="E25" s="18"/>
      <c r="F25" s="18"/>
    </row>
    <row r="26" customFormat="false" ht="15" hidden="false" customHeight="false" outlineLevel="0" collapsed="false">
      <c r="A26" s="4"/>
      <c r="B26" s="18"/>
      <c r="C26" s="18"/>
      <c r="D26" s="26"/>
      <c r="E26" s="18"/>
      <c r="F26" s="18"/>
    </row>
    <row r="27" customFormat="false" ht="15" hidden="false" customHeight="false" outlineLevel="0" collapsed="false">
      <c r="A27" s="4"/>
      <c r="B27" s="18"/>
      <c r="C27" s="18"/>
      <c r="D27" s="26"/>
      <c r="E27" s="18"/>
      <c r="F27" s="18"/>
    </row>
    <row r="28" customFormat="false" ht="15" hidden="false" customHeight="false" outlineLevel="0" collapsed="false">
      <c r="A28" s="4"/>
      <c r="B28" s="18"/>
      <c r="C28" s="18"/>
      <c r="D28" s="26"/>
      <c r="E28" s="18"/>
      <c r="F28" s="18"/>
    </row>
    <row r="29" customFormat="false" ht="15" hidden="false" customHeight="false" outlineLevel="0" collapsed="false">
      <c r="A29" s="4"/>
      <c r="B29" s="18"/>
      <c r="C29" s="18"/>
      <c r="D29" s="26"/>
      <c r="E29" s="18"/>
      <c r="F29" s="18"/>
    </row>
    <row r="30" customFormat="false" ht="15" hidden="false" customHeight="false" outlineLevel="0" collapsed="false">
      <c r="A30" s="4"/>
      <c r="B30" s="18"/>
      <c r="C30" s="18"/>
      <c r="D30" s="26"/>
      <c r="E30" s="18"/>
      <c r="F30" s="18"/>
    </row>
    <row r="31" customFormat="false" ht="15" hidden="false" customHeight="false" outlineLevel="0" collapsed="false">
      <c r="A31" s="4"/>
      <c r="B31" s="18"/>
      <c r="C31" s="18"/>
      <c r="D31" s="26"/>
      <c r="E31" s="18"/>
      <c r="F31" s="18"/>
    </row>
    <row r="32" customFormat="false" ht="15" hidden="false" customHeight="false" outlineLevel="0" collapsed="false">
      <c r="A32" s="4"/>
      <c r="B32" s="18"/>
      <c r="C32" s="18"/>
      <c r="D32" s="26"/>
      <c r="E32" s="18"/>
      <c r="F32" s="18"/>
    </row>
    <row r="33" customFormat="false" ht="15" hidden="false" customHeight="false" outlineLevel="0" collapsed="false">
      <c r="A33" s="4"/>
      <c r="B33" s="18"/>
      <c r="C33" s="18"/>
      <c r="D33" s="26"/>
      <c r="E33" s="18"/>
      <c r="F33" s="18"/>
    </row>
    <row r="34" customFormat="false" ht="15" hidden="false" customHeight="false" outlineLevel="0" collapsed="false">
      <c r="A34" s="4"/>
      <c r="B34" s="18"/>
      <c r="C34" s="18"/>
      <c r="D34" s="26"/>
      <c r="E34" s="18"/>
      <c r="F34" s="18"/>
    </row>
    <row r="35" customFormat="false" ht="15" hidden="false" customHeight="false" outlineLevel="0" collapsed="false">
      <c r="A35" s="4"/>
      <c r="B35" s="18"/>
      <c r="C35" s="18"/>
      <c r="D35" s="26"/>
      <c r="E35" s="18"/>
      <c r="F35" s="18"/>
    </row>
    <row r="36" customFormat="false" ht="15" hidden="false" customHeight="false" outlineLevel="0" collapsed="false">
      <c r="A36" s="4"/>
      <c r="B36" s="18"/>
      <c r="C36" s="18"/>
      <c r="D36" s="26"/>
      <c r="E36" s="18"/>
      <c r="F36" s="18"/>
    </row>
    <row r="37" customFormat="false" ht="15" hidden="false" customHeight="false" outlineLevel="0" collapsed="false">
      <c r="A37" s="4"/>
      <c r="B37" s="18"/>
      <c r="C37" s="18"/>
      <c r="D37" s="26"/>
      <c r="E37" s="18"/>
      <c r="F37" s="18"/>
    </row>
    <row r="38" customFormat="false" ht="15" hidden="false" customHeight="false" outlineLevel="0" collapsed="false">
      <c r="A38" s="4"/>
      <c r="B38" s="18"/>
      <c r="C38" s="18"/>
      <c r="D38" s="26"/>
      <c r="E38" s="18"/>
      <c r="F38" s="18"/>
    </row>
    <row r="39" customFormat="false" ht="15" hidden="false" customHeight="false" outlineLevel="0" collapsed="false">
      <c r="A39" s="4"/>
      <c r="B39" s="18"/>
      <c r="C39" s="18"/>
      <c r="D39" s="26"/>
      <c r="E39" s="18"/>
      <c r="F39" s="18"/>
    </row>
    <row r="40" customFormat="false" ht="15" hidden="false" customHeight="false" outlineLevel="0" collapsed="false">
      <c r="A40" s="4"/>
      <c r="B40" s="18"/>
      <c r="C40" s="18"/>
      <c r="D40" s="26"/>
      <c r="E40" s="18"/>
      <c r="F40" s="18"/>
    </row>
    <row r="41" customFormat="false" ht="15" hidden="false" customHeight="false" outlineLevel="0" collapsed="false">
      <c r="A41" s="4"/>
      <c r="B41" s="18"/>
      <c r="C41" s="18"/>
      <c r="D41" s="26"/>
      <c r="E41" s="18"/>
      <c r="F41" s="18"/>
    </row>
    <row r="42" customFormat="false" ht="15" hidden="false" customHeight="false" outlineLevel="0" collapsed="false">
      <c r="A42" s="4"/>
      <c r="B42" s="18"/>
      <c r="C42" s="18"/>
      <c r="D42" s="26"/>
      <c r="E42" s="18"/>
      <c r="F42" s="18"/>
    </row>
    <row r="43" customFormat="false" ht="15" hidden="false" customHeight="false" outlineLevel="0" collapsed="false">
      <c r="A43" s="4"/>
      <c r="B43" s="18"/>
      <c r="C43" s="18"/>
      <c r="D43" s="26"/>
      <c r="E43" s="18"/>
      <c r="F43" s="18"/>
    </row>
    <row r="44" customFormat="false" ht="15" hidden="false" customHeight="false" outlineLevel="0" collapsed="false">
      <c r="A44" s="4"/>
      <c r="B44" s="18"/>
      <c r="C44" s="18"/>
      <c r="D44" s="26"/>
      <c r="E44" s="18"/>
      <c r="F44" s="18"/>
    </row>
    <row r="45" customFormat="false" ht="15" hidden="false" customHeight="false" outlineLevel="0" collapsed="false">
      <c r="A45" s="4"/>
      <c r="B45" s="18"/>
      <c r="C45" s="18"/>
      <c r="D45" s="26"/>
      <c r="E45" s="18"/>
      <c r="F45" s="18"/>
    </row>
    <row r="46" customFormat="false" ht="15" hidden="false" customHeight="false" outlineLevel="0" collapsed="false">
      <c r="A46" s="4"/>
      <c r="B46" s="18"/>
      <c r="C46" s="18"/>
      <c r="D46" s="26"/>
      <c r="E46" s="18"/>
      <c r="F46" s="18"/>
    </row>
    <row r="47" customFormat="false" ht="15" hidden="false" customHeight="false" outlineLevel="0" collapsed="false">
      <c r="A47" s="4"/>
      <c r="B47" s="18"/>
      <c r="C47" s="18"/>
      <c r="D47" s="26"/>
      <c r="E47" s="18"/>
      <c r="F47" s="18"/>
    </row>
    <row r="48" customFormat="false" ht="15" hidden="false" customHeight="false" outlineLevel="0" collapsed="false">
      <c r="A48" s="4"/>
      <c r="B48" s="18"/>
      <c r="C48" s="18"/>
      <c r="D48" s="26"/>
      <c r="E48" s="18"/>
      <c r="F48" s="18"/>
    </row>
    <row r="49" customFormat="false" ht="15" hidden="false" customHeight="false" outlineLevel="0" collapsed="false">
      <c r="A49" s="4"/>
      <c r="B49" s="18"/>
      <c r="C49" s="18"/>
      <c r="D49" s="26"/>
      <c r="E49" s="18"/>
      <c r="F49" s="18"/>
    </row>
    <row r="50" customFormat="false" ht="15" hidden="false" customHeight="false" outlineLevel="0" collapsed="false">
      <c r="A50" s="4"/>
      <c r="B50" s="18"/>
      <c r="C50" s="18"/>
      <c r="D50" s="26"/>
      <c r="E50" s="18"/>
      <c r="F50" s="18"/>
    </row>
    <row r="51" customFormat="false" ht="15" hidden="false" customHeight="false" outlineLevel="0" collapsed="false">
      <c r="A51" s="4"/>
      <c r="B51" s="18"/>
      <c r="C51" s="18"/>
      <c r="D51" s="26"/>
      <c r="E51" s="18"/>
      <c r="F51" s="18"/>
    </row>
    <row r="52" customFormat="false" ht="15" hidden="false" customHeight="false" outlineLevel="0" collapsed="false">
      <c r="A52" s="4"/>
      <c r="B52" s="18"/>
      <c r="C52" s="18"/>
      <c r="D52" s="26"/>
      <c r="E52" s="18"/>
      <c r="F52" s="18"/>
    </row>
    <row r="53" customFormat="false" ht="15" hidden="false" customHeight="false" outlineLevel="0" collapsed="false">
      <c r="A53" s="4"/>
      <c r="B53" s="18"/>
      <c r="C53" s="18"/>
      <c r="D53" s="26"/>
      <c r="E53" s="18"/>
      <c r="F53" s="18"/>
    </row>
    <row r="54" customFormat="false" ht="15" hidden="false" customHeight="false" outlineLevel="0" collapsed="false">
      <c r="A54" s="4"/>
      <c r="B54" s="18"/>
      <c r="C54" s="18"/>
      <c r="D54" s="26"/>
      <c r="E54" s="18"/>
      <c r="F54" s="18"/>
    </row>
    <row r="55" customFormat="false" ht="15" hidden="false" customHeight="false" outlineLevel="0" collapsed="false">
      <c r="A55" s="4"/>
      <c r="B55" s="18"/>
      <c r="C55" s="18"/>
      <c r="D55" s="26"/>
      <c r="E55" s="18"/>
      <c r="F55" s="18"/>
    </row>
    <row r="56" customFormat="false" ht="15" hidden="false" customHeight="false" outlineLevel="0" collapsed="false">
      <c r="A56" s="4"/>
      <c r="B56" s="18"/>
      <c r="C56" s="18"/>
      <c r="D56" s="26"/>
      <c r="E56" s="18"/>
      <c r="F56" s="18"/>
    </row>
    <row r="57" customFormat="false" ht="15" hidden="false" customHeight="false" outlineLevel="0" collapsed="false">
      <c r="A57" s="4"/>
      <c r="B57" s="18"/>
      <c r="C57" s="18"/>
      <c r="D57" s="26"/>
      <c r="E57" s="18"/>
      <c r="F57" s="18"/>
    </row>
    <row r="58" customFormat="false" ht="15" hidden="false" customHeight="false" outlineLevel="0" collapsed="false">
      <c r="A58" s="4"/>
      <c r="B58" s="18"/>
      <c r="C58" s="18"/>
      <c r="D58" s="26"/>
      <c r="E58" s="18"/>
      <c r="F58" s="18"/>
    </row>
    <row r="59" customFormat="false" ht="15" hidden="false" customHeight="false" outlineLevel="0" collapsed="false">
      <c r="A59" s="4"/>
      <c r="B59" s="18"/>
      <c r="C59" s="18"/>
      <c r="D59" s="26"/>
      <c r="E59" s="18"/>
      <c r="F59" s="18"/>
    </row>
    <row r="60" customFormat="false" ht="15" hidden="false" customHeight="false" outlineLevel="0" collapsed="false">
      <c r="A60" s="4"/>
      <c r="B60" s="18"/>
      <c r="C60" s="18"/>
      <c r="D60" s="26"/>
      <c r="E60" s="18"/>
      <c r="F60" s="18"/>
    </row>
    <row r="61" customFormat="false" ht="15" hidden="false" customHeight="false" outlineLevel="0" collapsed="false">
      <c r="A61" s="4"/>
      <c r="B61" s="18"/>
      <c r="C61" s="18"/>
      <c r="D61" s="26"/>
      <c r="E61" s="18"/>
      <c r="F61" s="18"/>
    </row>
    <row r="62" customFormat="false" ht="15" hidden="false" customHeight="false" outlineLevel="0" collapsed="false">
      <c r="A62" s="4"/>
      <c r="B62" s="18"/>
      <c r="C62" s="18"/>
      <c r="D62" s="26"/>
      <c r="E62" s="18"/>
      <c r="F62" s="18"/>
    </row>
    <row r="63" customFormat="false" ht="15" hidden="false" customHeight="false" outlineLevel="0" collapsed="false">
      <c r="A63" s="4"/>
      <c r="B63" s="18"/>
      <c r="C63" s="18"/>
      <c r="D63" s="26"/>
      <c r="E63" s="18"/>
      <c r="F63" s="18"/>
    </row>
    <row r="64" customFormat="false" ht="15" hidden="false" customHeight="false" outlineLevel="0" collapsed="false">
      <c r="A64" s="4"/>
      <c r="B64" s="18"/>
      <c r="C64" s="18"/>
      <c r="D64" s="26"/>
      <c r="E64" s="18"/>
      <c r="F64" s="18"/>
    </row>
    <row r="65" customFormat="false" ht="15" hidden="false" customHeight="false" outlineLevel="0" collapsed="false">
      <c r="A65" s="4"/>
      <c r="B65" s="18"/>
      <c r="C65" s="18"/>
      <c r="D65" s="26"/>
      <c r="E65" s="18"/>
      <c r="F65" s="18"/>
    </row>
    <row r="66" customFormat="false" ht="15" hidden="false" customHeight="false" outlineLevel="0" collapsed="false">
      <c r="A66" s="4"/>
      <c r="B66" s="18"/>
      <c r="C66" s="18"/>
      <c r="D66" s="26"/>
      <c r="E66" s="18"/>
      <c r="F66" s="18"/>
    </row>
    <row r="67" customFormat="false" ht="15" hidden="false" customHeight="false" outlineLevel="0" collapsed="false">
      <c r="A67" s="4"/>
      <c r="B67" s="18"/>
      <c r="C67" s="18"/>
      <c r="D67" s="26"/>
      <c r="E67" s="18"/>
      <c r="F67" s="18"/>
    </row>
    <row r="68" customFormat="false" ht="15" hidden="false" customHeight="false" outlineLevel="0" collapsed="false">
      <c r="A68" s="4"/>
      <c r="B68" s="18"/>
      <c r="C68" s="18"/>
      <c r="D68" s="26"/>
      <c r="E68" s="18"/>
      <c r="F68" s="18"/>
    </row>
    <row r="69" customFormat="false" ht="15" hidden="false" customHeight="false" outlineLevel="0" collapsed="false">
      <c r="A69" s="4"/>
      <c r="B69" s="18"/>
      <c r="C69" s="18"/>
      <c r="D69" s="26"/>
      <c r="E69" s="18"/>
      <c r="F69" s="18"/>
    </row>
    <row r="70" customFormat="false" ht="15" hidden="false" customHeight="false" outlineLevel="0" collapsed="false">
      <c r="A70" s="4"/>
      <c r="B70" s="18"/>
      <c r="C70" s="18"/>
      <c r="D70" s="26"/>
      <c r="E70" s="18"/>
      <c r="F70" s="18"/>
    </row>
    <row r="71" customFormat="false" ht="15" hidden="false" customHeight="false" outlineLevel="0" collapsed="false">
      <c r="A71" s="4"/>
      <c r="B71" s="18"/>
      <c r="C71" s="18"/>
      <c r="D71" s="26"/>
      <c r="E71" s="18"/>
      <c r="F71" s="18"/>
    </row>
    <row r="72" customFormat="false" ht="15" hidden="false" customHeight="false" outlineLevel="0" collapsed="false">
      <c r="A72" s="4"/>
      <c r="B72" s="18"/>
      <c r="C72" s="18"/>
      <c r="D72" s="26"/>
      <c r="E72" s="18"/>
      <c r="F72" s="18"/>
    </row>
    <row r="73" customFormat="false" ht="15" hidden="false" customHeight="false" outlineLevel="0" collapsed="false">
      <c r="A73" s="4"/>
      <c r="B73" s="18"/>
      <c r="C73" s="18"/>
      <c r="D73" s="26"/>
      <c r="E73" s="18"/>
      <c r="F73" s="18"/>
    </row>
    <row r="74" customFormat="false" ht="15" hidden="false" customHeight="false" outlineLevel="0" collapsed="false">
      <c r="A74" s="4"/>
      <c r="B74" s="18"/>
      <c r="C74" s="18"/>
      <c r="D74" s="26"/>
      <c r="E74" s="18"/>
      <c r="F74" s="18"/>
    </row>
    <row r="75" customFormat="false" ht="15" hidden="false" customHeight="false" outlineLevel="0" collapsed="false">
      <c r="A75" s="4"/>
      <c r="B75" s="18"/>
      <c r="C75" s="18"/>
      <c r="D75" s="26"/>
      <c r="E75" s="18"/>
      <c r="F75" s="18"/>
    </row>
    <row r="76" customFormat="false" ht="15" hidden="false" customHeight="false" outlineLevel="0" collapsed="false">
      <c r="A76" s="4"/>
      <c r="B76" s="18"/>
      <c r="C76" s="18"/>
      <c r="D76" s="26"/>
      <c r="E76" s="18"/>
      <c r="F76" s="18"/>
    </row>
    <row r="77" customFormat="false" ht="15" hidden="false" customHeight="false" outlineLevel="0" collapsed="false">
      <c r="A77" s="4"/>
      <c r="B77" s="18"/>
      <c r="C77" s="18"/>
      <c r="D77" s="26"/>
      <c r="E77" s="18"/>
      <c r="F77" s="18"/>
    </row>
    <row r="78" customFormat="false" ht="15" hidden="false" customHeight="false" outlineLevel="0" collapsed="false">
      <c r="A78" s="4"/>
      <c r="B78" s="18"/>
      <c r="C78" s="18"/>
      <c r="D78" s="26"/>
      <c r="E78" s="18"/>
      <c r="F78" s="18"/>
    </row>
    <row r="79" customFormat="false" ht="15" hidden="false" customHeight="false" outlineLevel="0" collapsed="false">
      <c r="A79" s="4"/>
      <c r="B79" s="18"/>
      <c r="C79" s="18"/>
      <c r="D79" s="26"/>
      <c r="E79" s="18"/>
      <c r="F79" s="18"/>
    </row>
    <row r="80" customFormat="false" ht="15" hidden="false" customHeight="false" outlineLevel="0" collapsed="false">
      <c r="A80" s="4"/>
      <c r="B80" s="18"/>
      <c r="C80" s="18"/>
      <c r="D80" s="26"/>
      <c r="E80" s="18"/>
      <c r="F80" s="18"/>
    </row>
    <row r="81" customFormat="false" ht="15" hidden="false" customHeight="false" outlineLevel="0" collapsed="false">
      <c r="A81" s="4"/>
      <c r="B81" s="18"/>
      <c r="C81" s="18"/>
      <c r="D81" s="26"/>
      <c r="E81" s="18"/>
      <c r="F81" s="18"/>
    </row>
    <row r="82" customFormat="false" ht="15" hidden="false" customHeight="false" outlineLevel="0" collapsed="false">
      <c r="A82" s="4"/>
      <c r="B82" s="18"/>
      <c r="C82" s="18"/>
      <c r="D82" s="26"/>
      <c r="E82" s="18"/>
      <c r="F82" s="18"/>
    </row>
    <row r="83" customFormat="false" ht="15" hidden="false" customHeight="false" outlineLevel="0" collapsed="false">
      <c r="A83" s="4"/>
      <c r="B83" s="18"/>
      <c r="C83" s="18"/>
      <c r="D83" s="26"/>
      <c r="E83" s="18"/>
      <c r="F83" s="18"/>
    </row>
    <row r="84" customFormat="false" ht="15" hidden="false" customHeight="false" outlineLevel="0" collapsed="false">
      <c r="A84" s="4"/>
      <c r="B84" s="18"/>
      <c r="C84" s="18"/>
      <c r="D84" s="26"/>
      <c r="E84" s="18"/>
      <c r="F84" s="18"/>
    </row>
    <row r="85" customFormat="false" ht="15" hidden="false" customHeight="false" outlineLevel="0" collapsed="false">
      <c r="A85" s="4"/>
      <c r="B85" s="18"/>
      <c r="C85" s="18"/>
      <c r="D85" s="26"/>
      <c r="E85" s="18"/>
      <c r="F85" s="18"/>
    </row>
    <row r="86" customFormat="false" ht="15" hidden="false" customHeight="false" outlineLevel="0" collapsed="false">
      <c r="A86" s="4"/>
      <c r="B86" s="18"/>
      <c r="C86" s="18"/>
      <c r="D86" s="26"/>
      <c r="E86" s="18"/>
      <c r="F86" s="18"/>
    </row>
    <row r="87" customFormat="false" ht="15" hidden="false" customHeight="false" outlineLevel="0" collapsed="false">
      <c r="A87" s="4"/>
      <c r="B87" s="18"/>
      <c r="C87" s="18"/>
      <c r="D87" s="26"/>
      <c r="E87" s="18"/>
      <c r="F87" s="18"/>
    </row>
    <row r="88" customFormat="false" ht="15" hidden="false" customHeight="false" outlineLevel="0" collapsed="false">
      <c r="A88" s="4"/>
      <c r="B88" s="18"/>
      <c r="C88" s="18"/>
      <c r="D88" s="26"/>
      <c r="E88" s="18"/>
      <c r="F88" s="18"/>
    </row>
    <row r="89" customFormat="false" ht="15" hidden="false" customHeight="false" outlineLevel="0" collapsed="false">
      <c r="A89" s="4"/>
      <c r="B89" s="18"/>
      <c r="C89" s="18"/>
      <c r="D89" s="26"/>
      <c r="E89" s="18"/>
      <c r="F89" s="18"/>
    </row>
    <row r="90" customFormat="false" ht="15" hidden="false" customHeight="false" outlineLevel="0" collapsed="false">
      <c r="A90" s="4"/>
      <c r="B90" s="18"/>
      <c r="C90" s="18"/>
      <c r="D90" s="26"/>
      <c r="E90" s="18"/>
      <c r="F90" s="18"/>
    </row>
    <row r="91" customFormat="false" ht="15" hidden="false" customHeight="false" outlineLevel="0" collapsed="false">
      <c r="A91" s="4"/>
      <c r="B91" s="18"/>
      <c r="C91" s="18"/>
      <c r="D91" s="26"/>
      <c r="E91" s="18"/>
      <c r="F91" s="18"/>
    </row>
    <row r="92" customFormat="false" ht="15" hidden="false" customHeight="false" outlineLevel="0" collapsed="false">
      <c r="A92" s="4"/>
      <c r="B92" s="18"/>
      <c r="C92" s="18"/>
      <c r="D92" s="26"/>
      <c r="E92" s="18"/>
      <c r="F92" s="18"/>
    </row>
    <row r="93" customFormat="false" ht="15" hidden="false" customHeight="false" outlineLevel="0" collapsed="false">
      <c r="A93" s="4"/>
      <c r="B93" s="18"/>
      <c r="C93" s="18"/>
      <c r="D93" s="26"/>
      <c r="E93" s="18"/>
      <c r="F93" s="18"/>
    </row>
    <row r="94" customFormat="false" ht="15" hidden="false" customHeight="false" outlineLevel="0" collapsed="false">
      <c r="A94" s="4"/>
      <c r="B94" s="18"/>
      <c r="C94" s="18"/>
      <c r="D94" s="26"/>
      <c r="E94" s="18"/>
      <c r="F94" s="18"/>
    </row>
    <row r="95" customFormat="false" ht="15" hidden="false" customHeight="false" outlineLevel="0" collapsed="false">
      <c r="A95" s="4"/>
      <c r="B95" s="18"/>
      <c r="C95" s="18"/>
      <c r="D95" s="26"/>
      <c r="E95" s="18"/>
      <c r="F95" s="18"/>
    </row>
    <row r="96" customFormat="false" ht="15" hidden="false" customHeight="false" outlineLevel="0" collapsed="false">
      <c r="A96" s="4"/>
      <c r="B96" s="18"/>
      <c r="C96" s="18"/>
      <c r="D96" s="26"/>
      <c r="E96" s="18"/>
      <c r="F96" s="18"/>
    </row>
    <row r="97" customFormat="false" ht="15" hidden="false" customHeight="false" outlineLevel="0" collapsed="false">
      <c r="A97" s="4"/>
      <c r="B97" s="18"/>
      <c r="C97" s="18"/>
      <c r="D97" s="26"/>
      <c r="E97" s="18"/>
      <c r="F97" s="18"/>
    </row>
    <row r="98" customFormat="false" ht="15" hidden="false" customHeight="false" outlineLevel="0" collapsed="false">
      <c r="A98" s="4"/>
      <c r="B98" s="18"/>
      <c r="C98" s="18"/>
      <c r="D98" s="26"/>
      <c r="E98" s="18"/>
      <c r="F98" s="18"/>
    </row>
    <row r="99" customFormat="false" ht="15" hidden="false" customHeight="false" outlineLevel="0" collapsed="false">
      <c r="A99" s="4"/>
      <c r="B99" s="18"/>
      <c r="C99" s="18"/>
      <c r="D99" s="26"/>
      <c r="E99" s="18"/>
      <c r="F99" s="18"/>
    </row>
    <row r="100" customFormat="false" ht="15" hidden="false" customHeight="false" outlineLevel="0" collapsed="false">
      <c r="A100" s="4"/>
      <c r="B100" s="18"/>
      <c r="C100" s="18"/>
      <c r="D100" s="26"/>
      <c r="E100" s="18"/>
      <c r="F100" s="18"/>
    </row>
    <row r="101" customFormat="false" ht="15" hidden="false" customHeight="false" outlineLevel="0" collapsed="false">
      <c r="A101" s="4"/>
      <c r="B101" s="18"/>
      <c r="C101" s="18"/>
      <c r="D101" s="26"/>
      <c r="E101" s="18"/>
      <c r="F101" s="18"/>
    </row>
    <row r="102" customFormat="false" ht="15" hidden="false" customHeight="false" outlineLevel="0" collapsed="false">
      <c r="A102" s="4"/>
      <c r="B102" s="18"/>
      <c r="C102" s="18"/>
      <c r="D102" s="26"/>
      <c r="E102" s="18"/>
      <c r="F102" s="18"/>
    </row>
    <row r="103" customFormat="false" ht="15" hidden="false" customHeight="false" outlineLevel="0" collapsed="false">
      <c r="A103" s="4"/>
      <c r="B103" s="18"/>
      <c r="C103" s="18"/>
      <c r="D103" s="26"/>
      <c r="E103" s="18"/>
      <c r="F103" s="18"/>
    </row>
    <row r="104" customFormat="false" ht="15" hidden="false" customHeight="false" outlineLevel="0" collapsed="false">
      <c r="A104" s="4"/>
      <c r="B104" s="18"/>
      <c r="C104" s="18"/>
      <c r="D104" s="26"/>
      <c r="E104" s="18"/>
      <c r="F104" s="18"/>
    </row>
    <row r="105" customFormat="false" ht="15" hidden="false" customHeight="false" outlineLevel="0" collapsed="false">
      <c r="A105" s="4"/>
      <c r="B105" s="18"/>
      <c r="C105" s="18"/>
      <c r="D105" s="26"/>
      <c r="E105" s="18"/>
      <c r="F105" s="18"/>
    </row>
    <row r="106" customFormat="false" ht="15" hidden="false" customHeight="false" outlineLevel="0" collapsed="false">
      <c r="A106" s="4"/>
      <c r="B106" s="18"/>
      <c r="C106" s="18"/>
      <c r="D106" s="26"/>
      <c r="E106" s="18"/>
      <c r="F106" s="18"/>
    </row>
    <row r="107" customFormat="false" ht="15" hidden="false" customHeight="false" outlineLevel="0" collapsed="false">
      <c r="A107" s="4"/>
      <c r="B107" s="18"/>
      <c r="C107" s="18"/>
      <c r="D107" s="26"/>
      <c r="E107" s="18"/>
      <c r="F107" s="18"/>
    </row>
    <row r="108" customFormat="false" ht="15" hidden="false" customHeight="false" outlineLevel="0" collapsed="false">
      <c r="A108" s="4"/>
      <c r="B108" s="18"/>
      <c r="C108" s="18"/>
      <c r="D108" s="26"/>
      <c r="E108" s="18"/>
      <c r="F108" s="18"/>
    </row>
    <row r="109" customFormat="false" ht="15" hidden="false" customHeight="false" outlineLevel="0" collapsed="false">
      <c r="A109" s="4"/>
      <c r="B109" s="18"/>
      <c r="C109" s="18"/>
      <c r="D109" s="26"/>
      <c r="E109" s="18"/>
      <c r="F109" s="18"/>
    </row>
    <row r="110" customFormat="false" ht="15" hidden="false" customHeight="false" outlineLevel="0" collapsed="false">
      <c r="A110" s="4"/>
      <c r="B110" s="18"/>
      <c r="C110" s="18"/>
      <c r="D110" s="26"/>
      <c r="E110" s="18"/>
      <c r="F110" s="18"/>
    </row>
    <row r="111" customFormat="false" ht="15" hidden="false" customHeight="false" outlineLevel="0" collapsed="false">
      <c r="A111" s="4"/>
      <c r="B111" s="18"/>
      <c r="C111" s="18"/>
      <c r="D111" s="26"/>
      <c r="E111" s="18"/>
      <c r="F111" s="18"/>
    </row>
    <row r="112" customFormat="false" ht="15" hidden="false" customHeight="false" outlineLevel="0" collapsed="false">
      <c r="A112" s="4"/>
      <c r="B112" s="18"/>
      <c r="C112" s="18"/>
      <c r="D112" s="26"/>
      <c r="E112" s="18"/>
      <c r="F112" s="18"/>
    </row>
    <row r="113" customFormat="false" ht="15" hidden="false" customHeight="false" outlineLevel="0" collapsed="false">
      <c r="A113" s="4"/>
      <c r="B113" s="18"/>
      <c r="C113" s="18"/>
      <c r="D113" s="26"/>
      <c r="E113" s="18"/>
      <c r="F113" s="18"/>
    </row>
    <row r="114" customFormat="false" ht="15" hidden="false" customHeight="false" outlineLevel="0" collapsed="false">
      <c r="A114" s="4"/>
      <c r="B114" s="18"/>
      <c r="C114" s="18"/>
      <c r="D114" s="26"/>
      <c r="E114" s="18"/>
      <c r="F114" s="18"/>
    </row>
    <row r="115" customFormat="false" ht="15" hidden="false" customHeight="false" outlineLevel="0" collapsed="false">
      <c r="A115" s="4"/>
      <c r="B115" s="18"/>
      <c r="C115" s="18"/>
      <c r="D115" s="26"/>
      <c r="E115" s="18"/>
      <c r="F115" s="18"/>
    </row>
    <row r="116" customFormat="false" ht="15" hidden="false" customHeight="false" outlineLevel="0" collapsed="false">
      <c r="A116" s="4"/>
      <c r="B116" s="18"/>
      <c r="C116" s="18"/>
      <c r="D116" s="26"/>
      <c r="E116" s="18"/>
      <c r="F116" s="18"/>
    </row>
    <row r="117" customFormat="false" ht="15" hidden="false" customHeight="false" outlineLevel="0" collapsed="false">
      <c r="A117" s="4"/>
      <c r="B117" s="18"/>
      <c r="C117" s="18"/>
      <c r="D117" s="26"/>
      <c r="E117" s="18"/>
      <c r="F117" s="18"/>
    </row>
    <row r="118" customFormat="false" ht="15" hidden="false" customHeight="false" outlineLevel="0" collapsed="false">
      <c r="A118" s="4"/>
      <c r="B118" s="18"/>
      <c r="C118" s="18"/>
      <c r="D118" s="26"/>
      <c r="E118" s="18"/>
      <c r="F118" s="18"/>
    </row>
    <row r="119" customFormat="false" ht="15" hidden="false" customHeight="false" outlineLevel="0" collapsed="false">
      <c r="A119" s="4"/>
      <c r="B119" s="18"/>
      <c r="C119" s="18"/>
      <c r="D119" s="26"/>
      <c r="E119" s="18"/>
      <c r="F119" s="18"/>
    </row>
    <row r="120" customFormat="false" ht="15" hidden="false" customHeight="false" outlineLevel="0" collapsed="false">
      <c r="A120" s="4"/>
      <c r="B120" s="18"/>
      <c r="C120" s="18"/>
      <c r="D120" s="26"/>
      <c r="E120" s="18"/>
      <c r="F120" s="18"/>
    </row>
    <row r="121" customFormat="false" ht="15" hidden="false" customHeight="false" outlineLevel="0" collapsed="false">
      <c r="A121" s="4"/>
      <c r="B121" s="18"/>
      <c r="C121" s="18"/>
      <c r="D121" s="26"/>
      <c r="E121" s="18"/>
      <c r="F121" s="18"/>
    </row>
    <row r="122" customFormat="false" ht="15" hidden="false" customHeight="false" outlineLevel="0" collapsed="false">
      <c r="A122" s="4"/>
      <c r="B122" s="18"/>
      <c r="C122" s="18"/>
      <c r="D122" s="26"/>
      <c r="E122" s="18"/>
      <c r="F122" s="18"/>
    </row>
    <row r="123" customFormat="false" ht="15" hidden="false" customHeight="false" outlineLevel="0" collapsed="false">
      <c r="A123" s="4"/>
      <c r="B123" s="18"/>
      <c r="C123" s="18"/>
      <c r="D123" s="26"/>
      <c r="E123" s="18"/>
      <c r="F123" s="18"/>
    </row>
    <row r="124" customFormat="false" ht="15" hidden="false" customHeight="false" outlineLevel="0" collapsed="false">
      <c r="A124" s="4"/>
      <c r="B124" s="18"/>
      <c r="C124" s="18"/>
      <c r="D124" s="26"/>
      <c r="E124" s="18"/>
      <c r="F124" s="18"/>
    </row>
    <row r="125" customFormat="false" ht="15" hidden="false" customHeight="false" outlineLevel="0" collapsed="false">
      <c r="A125" s="4"/>
      <c r="B125" s="18"/>
      <c r="C125" s="18"/>
      <c r="D125" s="26"/>
      <c r="E125" s="18"/>
      <c r="F125" s="18"/>
    </row>
    <row r="126" customFormat="false" ht="15" hidden="false" customHeight="false" outlineLevel="0" collapsed="false">
      <c r="A126" s="4"/>
      <c r="B126" s="18"/>
      <c r="C126" s="18"/>
      <c r="D126" s="26"/>
      <c r="E126" s="18"/>
      <c r="F126" s="18"/>
    </row>
    <row r="127" customFormat="false" ht="15" hidden="false" customHeight="false" outlineLevel="0" collapsed="false">
      <c r="A127" s="4"/>
      <c r="B127" s="18"/>
      <c r="C127" s="18"/>
      <c r="D127" s="26"/>
      <c r="E127" s="18"/>
      <c r="F127" s="18"/>
    </row>
    <row r="128" customFormat="false" ht="15" hidden="false" customHeight="false" outlineLevel="0" collapsed="false">
      <c r="A128" s="4"/>
      <c r="B128" s="18"/>
      <c r="C128" s="18"/>
      <c r="D128" s="26"/>
      <c r="E128" s="18"/>
      <c r="F128" s="18"/>
    </row>
    <row r="129" customFormat="false" ht="15" hidden="false" customHeight="false" outlineLevel="0" collapsed="false">
      <c r="A129" s="4"/>
      <c r="B129" s="18"/>
      <c r="C129" s="18"/>
      <c r="D129" s="26"/>
      <c r="E129" s="18"/>
      <c r="F129" s="18"/>
    </row>
    <row r="130" customFormat="false" ht="15" hidden="false" customHeight="false" outlineLevel="0" collapsed="false">
      <c r="A130" s="4"/>
      <c r="B130" s="18"/>
      <c r="C130" s="18"/>
      <c r="D130" s="26"/>
      <c r="E130" s="18"/>
      <c r="F130" s="18"/>
    </row>
    <row r="131" customFormat="false" ht="15" hidden="false" customHeight="false" outlineLevel="0" collapsed="false">
      <c r="A131" s="4"/>
      <c r="B131" s="18"/>
      <c r="C131" s="18"/>
      <c r="D131" s="26"/>
      <c r="E131" s="18"/>
      <c r="F131" s="18"/>
    </row>
    <row r="132" customFormat="false" ht="15" hidden="false" customHeight="false" outlineLevel="0" collapsed="false">
      <c r="A132" s="4"/>
      <c r="B132" s="18"/>
      <c r="C132" s="18"/>
      <c r="D132" s="26"/>
      <c r="E132" s="18"/>
      <c r="F132" s="18"/>
    </row>
    <row r="133" customFormat="false" ht="15" hidden="false" customHeight="false" outlineLevel="0" collapsed="false">
      <c r="A133" s="4"/>
      <c r="B133" s="18"/>
      <c r="C133" s="18"/>
      <c r="D133" s="26"/>
      <c r="E133" s="18"/>
      <c r="F133" s="18"/>
    </row>
    <row r="134" customFormat="false" ht="15" hidden="false" customHeight="false" outlineLevel="0" collapsed="false">
      <c r="A134" s="4"/>
      <c r="B134" s="18"/>
      <c r="C134" s="18"/>
      <c r="D134" s="26"/>
      <c r="E134" s="18"/>
      <c r="F134" s="18"/>
    </row>
    <row r="135" customFormat="false" ht="15" hidden="false" customHeight="false" outlineLevel="0" collapsed="false">
      <c r="A135" s="4"/>
      <c r="B135" s="18"/>
      <c r="C135" s="18"/>
      <c r="D135" s="26"/>
      <c r="E135" s="18"/>
      <c r="F135" s="18"/>
    </row>
    <row r="136" customFormat="false" ht="15" hidden="false" customHeight="false" outlineLevel="0" collapsed="false">
      <c r="A136" s="4"/>
      <c r="B136" s="18"/>
      <c r="C136" s="18"/>
      <c r="D136" s="26"/>
      <c r="E136" s="18"/>
      <c r="F136" s="18"/>
    </row>
    <row r="137" customFormat="false" ht="15" hidden="false" customHeight="false" outlineLevel="0" collapsed="false">
      <c r="A137" s="4"/>
      <c r="B137" s="18"/>
      <c r="C137" s="18"/>
      <c r="D137" s="26"/>
      <c r="E137" s="18"/>
      <c r="F137" s="18"/>
    </row>
    <row r="138" customFormat="false" ht="15" hidden="false" customHeight="false" outlineLevel="0" collapsed="false">
      <c r="A138" s="4"/>
      <c r="B138" s="18"/>
      <c r="C138" s="18"/>
      <c r="D138" s="26"/>
      <c r="E138" s="18"/>
      <c r="F138" s="18"/>
    </row>
    <row r="139" customFormat="false" ht="15" hidden="false" customHeight="false" outlineLevel="0" collapsed="false">
      <c r="A139" s="4"/>
      <c r="B139" s="18"/>
      <c r="C139" s="18"/>
      <c r="D139" s="26"/>
      <c r="E139" s="18"/>
      <c r="F139" s="18"/>
    </row>
    <row r="140" customFormat="false" ht="15" hidden="false" customHeight="false" outlineLevel="0" collapsed="false">
      <c r="A140" s="4"/>
      <c r="B140" s="18"/>
      <c r="C140" s="18"/>
      <c r="D140" s="26"/>
      <c r="E140" s="18"/>
      <c r="F140" s="18"/>
    </row>
    <row r="141" customFormat="false" ht="15" hidden="false" customHeight="false" outlineLevel="0" collapsed="false">
      <c r="A141" s="4"/>
      <c r="B141" s="18"/>
      <c r="C141" s="18"/>
      <c r="D141" s="26"/>
      <c r="E141" s="18"/>
      <c r="F141" s="18"/>
    </row>
    <row r="142" customFormat="false" ht="15" hidden="false" customHeight="false" outlineLevel="0" collapsed="false">
      <c r="A142" s="4"/>
      <c r="B142" s="18"/>
      <c r="C142" s="18"/>
      <c r="D142" s="26"/>
      <c r="E142" s="18"/>
      <c r="F142" s="18"/>
    </row>
    <row r="143" customFormat="false" ht="15" hidden="false" customHeight="false" outlineLevel="0" collapsed="false">
      <c r="A143" s="4"/>
      <c r="B143" s="18"/>
      <c r="C143" s="18"/>
      <c r="D143" s="26"/>
      <c r="E143" s="18"/>
      <c r="F143" s="18"/>
    </row>
    <row r="144" customFormat="false" ht="15" hidden="false" customHeight="false" outlineLevel="0" collapsed="false">
      <c r="A144" s="4"/>
      <c r="B144" s="18"/>
      <c r="C144" s="18"/>
      <c r="D144" s="26"/>
      <c r="E144" s="18"/>
      <c r="F144" s="18"/>
    </row>
    <row r="145" customFormat="false" ht="15" hidden="false" customHeight="false" outlineLevel="0" collapsed="false">
      <c r="A145" s="4"/>
      <c r="B145" s="18"/>
      <c r="C145" s="18"/>
      <c r="D145" s="26"/>
      <c r="E145" s="18"/>
      <c r="F145" s="18"/>
    </row>
    <row r="146" customFormat="false" ht="15" hidden="false" customHeight="false" outlineLevel="0" collapsed="false">
      <c r="A146" s="4"/>
      <c r="B146" s="18"/>
      <c r="C146" s="18"/>
      <c r="D146" s="26"/>
      <c r="E146" s="18"/>
      <c r="F146" s="18"/>
    </row>
    <row r="147" customFormat="false" ht="15" hidden="false" customHeight="false" outlineLevel="0" collapsed="false">
      <c r="A147" s="4"/>
      <c r="B147" s="18"/>
      <c r="C147" s="18"/>
      <c r="D147" s="26"/>
      <c r="E147" s="18"/>
      <c r="F147" s="18"/>
    </row>
    <row r="148" customFormat="false" ht="15" hidden="false" customHeight="false" outlineLevel="0" collapsed="false">
      <c r="A148" s="4"/>
      <c r="B148" s="18"/>
      <c r="C148" s="18"/>
      <c r="D148" s="26"/>
      <c r="E148" s="18"/>
      <c r="F148" s="18"/>
    </row>
    <row r="149" customFormat="false" ht="15" hidden="false" customHeight="false" outlineLevel="0" collapsed="false">
      <c r="A149" s="4"/>
      <c r="B149" s="18"/>
      <c r="C149" s="18"/>
      <c r="D149" s="26"/>
      <c r="E149" s="18"/>
      <c r="F149" s="18"/>
    </row>
    <row r="150" customFormat="false" ht="15" hidden="false" customHeight="false" outlineLevel="0" collapsed="false">
      <c r="A150" s="4"/>
      <c r="B150" s="18"/>
      <c r="C150" s="18"/>
      <c r="D150" s="26"/>
      <c r="E150" s="18"/>
      <c r="F150" s="18"/>
    </row>
    <row r="151" customFormat="false" ht="15" hidden="false" customHeight="false" outlineLevel="0" collapsed="false">
      <c r="A151" s="4"/>
      <c r="B151" s="18"/>
      <c r="C151" s="18"/>
      <c r="D151" s="26"/>
      <c r="E151" s="18"/>
      <c r="F151" s="18"/>
    </row>
    <row r="152" customFormat="false" ht="15" hidden="false" customHeight="false" outlineLevel="0" collapsed="false">
      <c r="A152" s="4"/>
      <c r="B152" s="18"/>
      <c r="C152" s="18"/>
      <c r="D152" s="26"/>
      <c r="E152" s="18"/>
      <c r="F152" s="18"/>
    </row>
    <row r="153" customFormat="false" ht="15" hidden="false" customHeight="false" outlineLevel="0" collapsed="false">
      <c r="A153" s="4"/>
      <c r="B153" s="18"/>
      <c r="C153" s="18"/>
      <c r="D153" s="26"/>
      <c r="E153" s="18"/>
      <c r="F153" s="18"/>
    </row>
    <row r="154" customFormat="false" ht="15" hidden="false" customHeight="false" outlineLevel="0" collapsed="false">
      <c r="A154" s="4"/>
      <c r="B154" s="18"/>
      <c r="C154" s="18"/>
      <c r="D154" s="26"/>
      <c r="E154" s="18"/>
      <c r="F154" s="18"/>
    </row>
    <row r="155" customFormat="false" ht="15" hidden="false" customHeight="false" outlineLevel="0" collapsed="false">
      <c r="A155" s="4"/>
      <c r="B155" s="18"/>
      <c r="C155" s="18"/>
      <c r="D155" s="26"/>
      <c r="E155" s="18"/>
      <c r="F155" s="18"/>
    </row>
    <row r="156" customFormat="false" ht="15" hidden="false" customHeight="false" outlineLevel="0" collapsed="false">
      <c r="A156" s="4"/>
      <c r="B156" s="18"/>
      <c r="C156" s="18"/>
      <c r="D156" s="26"/>
      <c r="E156" s="18"/>
      <c r="F156" s="18"/>
    </row>
    <row r="157" customFormat="false" ht="15" hidden="false" customHeight="false" outlineLevel="0" collapsed="false">
      <c r="A157" s="4"/>
      <c r="B157" s="18"/>
      <c r="C157" s="18"/>
      <c r="D157" s="26"/>
      <c r="E157" s="18"/>
      <c r="F157" s="18"/>
    </row>
    <row r="158" customFormat="false" ht="15" hidden="false" customHeight="false" outlineLevel="0" collapsed="false">
      <c r="A158" s="4"/>
      <c r="B158" s="18"/>
      <c r="C158" s="18"/>
      <c r="D158" s="26"/>
      <c r="E158" s="18"/>
      <c r="F158" s="18"/>
    </row>
    <row r="159" customFormat="false" ht="15" hidden="false" customHeight="false" outlineLevel="0" collapsed="false">
      <c r="A159" s="4"/>
      <c r="B159" s="18"/>
      <c r="C159" s="18"/>
      <c r="D159" s="26"/>
      <c r="E159" s="18"/>
      <c r="F159" s="18"/>
    </row>
    <row r="160" customFormat="false" ht="15" hidden="false" customHeight="false" outlineLevel="0" collapsed="false">
      <c r="A160" s="4"/>
      <c r="B160" s="18"/>
      <c r="C160" s="18"/>
      <c r="D160" s="26"/>
      <c r="E160" s="18"/>
      <c r="F160" s="18"/>
    </row>
    <row r="161" customFormat="false" ht="15" hidden="false" customHeight="false" outlineLevel="0" collapsed="false">
      <c r="A161" s="4"/>
      <c r="B161" s="18"/>
      <c r="C161" s="18"/>
      <c r="D161" s="26"/>
      <c r="E161" s="18"/>
      <c r="F161" s="18"/>
    </row>
    <row r="162" customFormat="false" ht="15" hidden="false" customHeight="false" outlineLevel="0" collapsed="false">
      <c r="A162" s="4"/>
      <c r="B162" s="18"/>
      <c r="C162" s="18"/>
      <c r="D162" s="26"/>
      <c r="E162" s="18"/>
      <c r="F162" s="18"/>
    </row>
    <row r="163" customFormat="false" ht="15" hidden="false" customHeight="false" outlineLevel="0" collapsed="false">
      <c r="A163" s="4"/>
      <c r="B163" s="18"/>
      <c r="C163" s="18"/>
      <c r="D163" s="26"/>
      <c r="E163" s="18"/>
      <c r="F163" s="18"/>
    </row>
    <row r="164" customFormat="false" ht="15" hidden="false" customHeight="false" outlineLevel="0" collapsed="false">
      <c r="A164" s="4"/>
      <c r="B164" s="18"/>
      <c r="C164" s="18"/>
      <c r="D164" s="26"/>
      <c r="E164" s="18"/>
      <c r="F164" s="18"/>
    </row>
    <row r="165" customFormat="false" ht="15" hidden="false" customHeight="false" outlineLevel="0" collapsed="false">
      <c r="A165" s="4"/>
      <c r="B165" s="18"/>
      <c r="C165" s="18"/>
      <c r="D165" s="26"/>
      <c r="E165" s="18"/>
      <c r="F165" s="18"/>
    </row>
    <row r="166" customFormat="false" ht="15" hidden="false" customHeight="false" outlineLevel="0" collapsed="false">
      <c r="A166" s="4"/>
      <c r="B166" s="18"/>
      <c r="C166" s="18"/>
      <c r="D166" s="26"/>
      <c r="E166" s="18"/>
      <c r="F166" s="18"/>
    </row>
    <row r="167" customFormat="false" ht="15" hidden="false" customHeight="false" outlineLevel="0" collapsed="false">
      <c r="A167" s="4"/>
      <c r="B167" s="18"/>
      <c r="C167" s="18"/>
      <c r="D167" s="26"/>
      <c r="E167" s="18"/>
      <c r="F167" s="18"/>
    </row>
    <row r="168" customFormat="false" ht="15" hidden="false" customHeight="false" outlineLevel="0" collapsed="false">
      <c r="A168" s="4"/>
      <c r="B168" s="18"/>
      <c r="C168" s="18"/>
      <c r="D168" s="26"/>
      <c r="E168" s="18"/>
      <c r="F168" s="18"/>
    </row>
    <row r="169" customFormat="false" ht="15" hidden="false" customHeight="false" outlineLevel="0" collapsed="false">
      <c r="A169" s="4"/>
      <c r="B169" s="18"/>
      <c r="C169" s="18"/>
      <c r="D169" s="26"/>
      <c r="E169" s="18"/>
      <c r="F169" s="18"/>
    </row>
    <row r="170" customFormat="false" ht="15" hidden="false" customHeight="false" outlineLevel="0" collapsed="false">
      <c r="A170" s="4"/>
      <c r="B170" s="18"/>
      <c r="C170" s="18"/>
      <c r="D170" s="26"/>
      <c r="E170" s="18"/>
      <c r="F170" s="18"/>
    </row>
    <row r="171" customFormat="false" ht="15" hidden="false" customHeight="false" outlineLevel="0" collapsed="false">
      <c r="A171" s="4"/>
      <c r="B171" s="18"/>
      <c r="C171" s="18"/>
      <c r="D171" s="26"/>
      <c r="E171" s="18"/>
      <c r="F171" s="18"/>
    </row>
    <row r="172" customFormat="false" ht="15" hidden="false" customHeight="false" outlineLevel="0" collapsed="false">
      <c r="A172" s="4"/>
      <c r="B172" s="18"/>
      <c r="C172" s="18"/>
      <c r="D172" s="26"/>
      <c r="E172" s="18"/>
      <c r="F172" s="18"/>
    </row>
    <row r="173" customFormat="false" ht="15" hidden="false" customHeight="false" outlineLevel="0" collapsed="false">
      <c r="A173" s="4"/>
      <c r="B173" s="18"/>
      <c r="C173" s="18"/>
      <c r="D173" s="26"/>
      <c r="E173" s="18"/>
      <c r="F173" s="18"/>
    </row>
    <row r="174" customFormat="false" ht="15" hidden="false" customHeight="false" outlineLevel="0" collapsed="false">
      <c r="A174" s="4"/>
      <c r="B174" s="18"/>
      <c r="C174" s="18"/>
      <c r="D174" s="26"/>
      <c r="E174" s="18"/>
      <c r="F174" s="18"/>
    </row>
    <row r="175" customFormat="false" ht="15" hidden="false" customHeight="false" outlineLevel="0" collapsed="false">
      <c r="A175" s="4"/>
      <c r="B175" s="18"/>
      <c r="C175" s="18"/>
      <c r="D175" s="26"/>
      <c r="E175" s="18"/>
      <c r="F175" s="18"/>
    </row>
    <row r="176" customFormat="false" ht="15" hidden="false" customHeight="false" outlineLevel="0" collapsed="false">
      <c r="A176" s="4"/>
      <c r="B176" s="18"/>
      <c r="C176" s="18"/>
      <c r="D176" s="26"/>
      <c r="E176" s="18"/>
      <c r="F176" s="18"/>
    </row>
    <row r="177" customFormat="false" ht="15" hidden="false" customHeight="false" outlineLevel="0" collapsed="false">
      <c r="A177" s="4"/>
      <c r="B177" s="18"/>
      <c r="C177" s="18"/>
      <c r="D177" s="26"/>
      <c r="E177" s="18"/>
      <c r="F177" s="18"/>
    </row>
    <row r="178" customFormat="false" ht="15" hidden="false" customHeight="false" outlineLevel="0" collapsed="false">
      <c r="A178" s="4"/>
      <c r="B178" s="18"/>
      <c r="C178" s="18"/>
      <c r="D178" s="26"/>
      <c r="E178" s="18"/>
      <c r="F178" s="18"/>
    </row>
    <row r="179" customFormat="false" ht="15" hidden="false" customHeight="false" outlineLevel="0" collapsed="false">
      <c r="A179" s="4"/>
      <c r="B179" s="18"/>
      <c r="C179" s="18"/>
      <c r="D179" s="26"/>
      <c r="E179" s="18"/>
      <c r="F179" s="18"/>
    </row>
    <row r="180" customFormat="false" ht="15" hidden="false" customHeight="false" outlineLevel="0" collapsed="false">
      <c r="A180" s="4"/>
      <c r="B180" s="18"/>
      <c r="C180" s="18"/>
      <c r="D180" s="26"/>
      <c r="E180" s="18"/>
      <c r="F180" s="18"/>
    </row>
    <row r="181" customFormat="false" ht="15" hidden="false" customHeight="false" outlineLevel="0" collapsed="false">
      <c r="A181" s="4"/>
      <c r="B181" s="18"/>
      <c r="C181" s="18"/>
      <c r="D181" s="26"/>
      <c r="E181" s="18"/>
      <c r="F181" s="18"/>
    </row>
    <row r="182" customFormat="false" ht="15" hidden="false" customHeight="false" outlineLevel="0" collapsed="false">
      <c r="A182" s="4"/>
      <c r="B182" s="18"/>
      <c r="C182" s="18"/>
      <c r="D182" s="26"/>
      <c r="E182" s="18"/>
      <c r="F182" s="18"/>
    </row>
    <row r="183" customFormat="false" ht="15" hidden="false" customHeight="false" outlineLevel="0" collapsed="false">
      <c r="A183" s="4"/>
      <c r="B183" s="18"/>
      <c r="C183" s="18"/>
      <c r="D183" s="26"/>
      <c r="E183" s="18"/>
      <c r="F183" s="18"/>
    </row>
    <row r="184" customFormat="false" ht="15" hidden="false" customHeight="false" outlineLevel="0" collapsed="false">
      <c r="A184" s="4"/>
      <c r="B184" s="18"/>
      <c r="C184" s="18"/>
      <c r="D184" s="26"/>
      <c r="E184" s="18"/>
      <c r="F184" s="18"/>
    </row>
    <row r="185" customFormat="false" ht="15" hidden="false" customHeight="false" outlineLevel="0" collapsed="false">
      <c r="A185" s="4"/>
      <c r="B185" s="18"/>
      <c r="C185" s="18"/>
      <c r="D185" s="26"/>
      <c r="E185" s="18"/>
      <c r="F185" s="18"/>
    </row>
    <row r="186" customFormat="false" ht="15" hidden="false" customHeight="false" outlineLevel="0" collapsed="false">
      <c r="A186" s="4"/>
      <c r="B186" s="18"/>
      <c r="C186" s="18"/>
      <c r="D186" s="26"/>
      <c r="E186" s="18"/>
      <c r="F186" s="18"/>
    </row>
    <row r="187" customFormat="false" ht="15" hidden="false" customHeight="false" outlineLevel="0" collapsed="false">
      <c r="A187" s="4"/>
      <c r="B187" s="18"/>
      <c r="C187" s="18"/>
      <c r="D187" s="26"/>
      <c r="E187" s="18"/>
      <c r="F187" s="18"/>
    </row>
    <row r="188" customFormat="false" ht="15" hidden="false" customHeight="false" outlineLevel="0" collapsed="false">
      <c r="A188" s="4"/>
      <c r="B188" s="18"/>
      <c r="C188" s="18"/>
      <c r="D188" s="26"/>
      <c r="E188" s="18"/>
      <c r="F188" s="18"/>
    </row>
    <row r="189" customFormat="false" ht="15" hidden="false" customHeight="false" outlineLevel="0" collapsed="false">
      <c r="A189" s="4"/>
      <c r="B189" s="18"/>
      <c r="C189" s="18"/>
      <c r="D189" s="26"/>
      <c r="E189" s="18"/>
      <c r="F189" s="18"/>
    </row>
    <row r="190" customFormat="false" ht="15" hidden="false" customHeight="false" outlineLevel="0" collapsed="false">
      <c r="A190" s="4"/>
      <c r="B190" s="18"/>
      <c r="C190" s="18"/>
      <c r="D190" s="26"/>
      <c r="E190" s="18"/>
      <c r="F190" s="18"/>
    </row>
    <row r="191" customFormat="false" ht="15" hidden="false" customHeight="false" outlineLevel="0" collapsed="false">
      <c r="A191" s="4"/>
      <c r="B191" s="18"/>
      <c r="C191" s="18"/>
      <c r="D191" s="26"/>
      <c r="E191" s="18"/>
      <c r="F191" s="18"/>
    </row>
    <row r="192" customFormat="false" ht="15" hidden="false" customHeight="false" outlineLevel="0" collapsed="false">
      <c r="A192" s="4"/>
      <c r="B192" s="18"/>
      <c r="C192" s="18"/>
      <c r="D192" s="26"/>
      <c r="E192" s="18"/>
      <c r="F192" s="18"/>
    </row>
    <row r="193" customFormat="false" ht="15" hidden="false" customHeight="false" outlineLevel="0" collapsed="false">
      <c r="A193" s="4"/>
      <c r="B193" s="18"/>
      <c r="C193" s="18"/>
      <c r="D193" s="26"/>
      <c r="E193" s="18"/>
      <c r="F193" s="18"/>
    </row>
    <row r="194" customFormat="false" ht="15" hidden="false" customHeight="false" outlineLevel="0" collapsed="false">
      <c r="A194" s="4"/>
      <c r="B194" s="18"/>
      <c r="C194" s="18"/>
      <c r="D194" s="26"/>
      <c r="E194" s="18"/>
      <c r="F194" s="18"/>
    </row>
    <row r="195" customFormat="false" ht="15" hidden="false" customHeight="false" outlineLevel="0" collapsed="false">
      <c r="A195" s="4"/>
      <c r="B195" s="18"/>
      <c r="C195" s="18"/>
      <c r="D195" s="26"/>
      <c r="E195" s="18"/>
      <c r="F195" s="18"/>
    </row>
    <row r="196" customFormat="false" ht="15" hidden="false" customHeight="false" outlineLevel="0" collapsed="false">
      <c r="A196" s="4"/>
      <c r="B196" s="18"/>
      <c r="C196" s="18"/>
      <c r="D196" s="26"/>
      <c r="E196" s="18"/>
      <c r="F196" s="18"/>
    </row>
    <row r="197" customFormat="false" ht="15" hidden="false" customHeight="false" outlineLevel="0" collapsed="false">
      <c r="A197" s="4"/>
      <c r="B197" s="18"/>
      <c r="C197" s="18"/>
      <c r="D197" s="26"/>
      <c r="E197" s="18"/>
      <c r="F197" s="18"/>
    </row>
    <row r="198" customFormat="false" ht="15" hidden="false" customHeight="false" outlineLevel="0" collapsed="false">
      <c r="A198" s="4"/>
      <c r="B198" s="18"/>
      <c r="C198" s="18"/>
      <c r="D198" s="26"/>
      <c r="E198" s="18"/>
      <c r="F198" s="18"/>
    </row>
    <row r="199" customFormat="false" ht="15" hidden="false" customHeight="false" outlineLevel="0" collapsed="false">
      <c r="A199" s="4"/>
      <c r="B199" s="18"/>
      <c r="C199" s="18"/>
      <c r="D199" s="26"/>
      <c r="E199" s="18"/>
      <c r="F199" s="18"/>
    </row>
    <row r="200" customFormat="false" ht="15" hidden="false" customHeight="false" outlineLevel="0" collapsed="false">
      <c r="A200" s="4"/>
      <c r="B200" s="18"/>
      <c r="C200" s="18"/>
      <c r="D200" s="26"/>
      <c r="E200" s="18"/>
      <c r="F200" s="18"/>
    </row>
    <row r="201" customFormat="false" ht="15" hidden="false" customHeight="false" outlineLevel="0" collapsed="false">
      <c r="A201" s="4"/>
      <c r="B201" s="18"/>
      <c r="C201" s="18"/>
      <c r="D201" s="26"/>
      <c r="E201" s="18"/>
      <c r="F201" s="18"/>
    </row>
    <row r="202" customFormat="false" ht="15" hidden="false" customHeight="false" outlineLevel="0" collapsed="false">
      <c r="A202" s="4"/>
      <c r="B202" s="18"/>
      <c r="C202" s="18"/>
      <c r="D202" s="26"/>
      <c r="E202" s="18"/>
      <c r="F202" s="18"/>
    </row>
    <row r="203" customFormat="false" ht="15" hidden="false" customHeight="false" outlineLevel="0" collapsed="false">
      <c r="A203" s="4"/>
      <c r="B203" s="18"/>
      <c r="C203" s="18"/>
      <c r="D203" s="26"/>
      <c r="E203" s="18"/>
      <c r="F203" s="18"/>
    </row>
    <row r="204" customFormat="false" ht="15" hidden="false" customHeight="false" outlineLevel="0" collapsed="false">
      <c r="A204" s="4"/>
      <c r="B204" s="18"/>
      <c r="C204" s="18"/>
      <c r="D204" s="26"/>
      <c r="E204" s="18"/>
      <c r="F204" s="18"/>
    </row>
    <row r="205" customFormat="false" ht="15" hidden="false" customHeight="false" outlineLevel="0" collapsed="false">
      <c r="A205" s="4"/>
      <c r="B205" s="18"/>
      <c r="C205" s="18"/>
      <c r="D205" s="26"/>
      <c r="E205" s="18"/>
      <c r="F205" s="18"/>
    </row>
    <row r="206" customFormat="false" ht="15" hidden="false" customHeight="false" outlineLevel="0" collapsed="false">
      <c r="A206" s="4"/>
      <c r="B206" s="18"/>
      <c r="C206" s="18"/>
      <c r="D206" s="26"/>
      <c r="E206" s="18"/>
      <c r="F206" s="18"/>
    </row>
    <row r="207" customFormat="false" ht="15" hidden="false" customHeight="false" outlineLevel="0" collapsed="false">
      <c r="A207" s="4"/>
      <c r="B207" s="18"/>
      <c r="C207" s="18"/>
      <c r="D207" s="26"/>
      <c r="E207" s="18"/>
      <c r="F207" s="18"/>
    </row>
    <row r="208" customFormat="false" ht="15" hidden="false" customHeight="false" outlineLevel="0" collapsed="false">
      <c r="A208" s="4"/>
      <c r="B208" s="18"/>
      <c r="C208" s="18"/>
      <c r="D208" s="26"/>
      <c r="E208" s="18"/>
      <c r="F208" s="18"/>
    </row>
    <row r="209" customFormat="false" ht="15" hidden="false" customHeight="false" outlineLevel="0" collapsed="false">
      <c r="A209" s="4"/>
      <c r="B209" s="18"/>
      <c r="C209" s="18"/>
      <c r="D209" s="26"/>
      <c r="E209" s="18"/>
      <c r="F209" s="18"/>
    </row>
    <row r="210" customFormat="false" ht="15" hidden="false" customHeight="false" outlineLevel="0" collapsed="false">
      <c r="A210" s="4"/>
      <c r="B210" s="18"/>
      <c r="C210" s="18"/>
      <c r="D210" s="26"/>
      <c r="E210" s="18"/>
      <c r="F210" s="18"/>
    </row>
    <row r="211" customFormat="false" ht="15" hidden="false" customHeight="false" outlineLevel="0" collapsed="false">
      <c r="A211" s="4"/>
      <c r="B211" s="18"/>
      <c r="C211" s="18"/>
      <c r="D211" s="26"/>
      <c r="E211" s="18"/>
      <c r="F211" s="18"/>
    </row>
    <row r="212" customFormat="false" ht="15" hidden="false" customHeight="false" outlineLevel="0" collapsed="false">
      <c r="A212" s="4"/>
      <c r="B212" s="18"/>
      <c r="C212" s="18"/>
      <c r="D212" s="26"/>
      <c r="E212" s="18"/>
      <c r="F212" s="18"/>
    </row>
    <row r="213" customFormat="false" ht="15" hidden="false" customHeight="false" outlineLevel="0" collapsed="false">
      <c r="A213" s="4"/>
      <c r="B213" s="18"/>
      <c r="C213" s="18"/>
      <c r="D213" s="26"/>
      <c r="E213" s="18"/>
      <c r="F213" s="18"/>
    </row>
    <row r="214" customFormat="false" ht="15" hidden="false" customHeight="false" outlineLevel="0" collapsed="false">
      <c r="A214" s="4"/>
      <c r="B214" s="18"/>
      <c r="C214" s="18"/>
      <c r="D214" s="26"/>
      <c r="E214" s="18"/>
      <c r="F214" s="18"/>
    </row>
    <row r="215" customFormat="false" ht="15" hidden="false" customHeight="false" outlineLevel="0" collapsed="false">
      <c r="A215" s="4"/>
      <c r="B215" s="18"/>
      <c r="C215" s="18"/>
      <c r="D215" s="26"/>
      <c r="E215" s="18"/>
      <c r="F215" s="18"/>
    </row>
    <row r="216" customFormat="false" ht="15" hidden="false" customHeight="false" outlineLevel="0" collapsed="false">
      <c r="A216" s="4"/>
      <c r="B216" s="18"/>
      <c r="C216" s="18"/>
      <c r="D216" s="26"/>
      <c r="E216" s="18"/>
      <c r="F216" s="18"/>
    </row>
    <row r="217" customFormat="false" ht="15" hidden="false" customHeight="false" outlineLevel="0" collapsed="false">
      <c r="A217" s="4"/>
      <c r="B217" s="18"/>
      <c r="C217" s="18"/>
      <c r="D217" s="26"/>
      <c r="E217" s="18"/>
      <c r="F217" s="18"/>
    </row>
    <row r="218" customFormat="false" ht="15" hidden="false" customHeight="false" outlineLevel="0" collapsed="false">
      <c r="A218" s="4"/>
      <c r="B218" s="18"/>
      <c r="C218" s="18"/>
      <c r="D218" s="26"/>
      <c r="E218" s="18"/>
      <c r="F218" s="18"/>
    </row>
    <row r="219" customFormat="false" ht="15" hidden="false" customHeight="false" outlineLevel="0" collapsed="false">
      <c r="A219" s="4"/>
      <c r="B219" s="18"/>
      <c r="C219" s="18"/>
      <c r="D219" s="26"/>
      <c r="E219" s="18"/>
      <c r="F219" s="18"/>
    </row>
    <row r="220" customFormat="false" ht="15" hidden="false" customHeight="false" outlineLevel="0" collapsed="false">
      <c r="A220" s="4"/>
      <c r="B220" s="18"/>
      <c r="C220" s="18"/>
      <c r="D220" s="26"/>
      <c r="E220" s="18"/>
      <c r="F220" s="18"/>
    </row>
    <row r="221" customFormat="false" ht="15" hidden="false" customHeight="false" outlineLevel="0" collapsed="false">
      <c r="A221" s="4"/>
      <c r="B221" s="18"/>
      <c r="C221" s="18"/>
      <c r="D221" s="26"/>
      <c r="E221" s="18"/>
      <c r="F221" s="18"/>
    </row>
    <row r="222" customFormat="false" ht="15" hidden="false" customHeight="false" outlineLevel="0" collapsed="false">
      <c r="A222" s="4"/>
      <c r="B222" s="18"/>
      <c r="C222" s="18"/>
      <c r="D222" s="26"/>
      <c r="E222" s="18"/>
      <c r="F222" s="18"/>
    </row>
    <row r="223" customFormat="false" ht="15" hidden="false" customHeight="false" outlineLevel="0" collapsed="false">
      <c r="A223" s="4"/>
      <c r="B223" s="18"/>
      <c r="C223" s="18"/>
      <c r="D223" s="26"/>
      <c r="E223" s="18"/>
      <c r="F223" s="18"/>
    </row>
    <row r="224" customFormat="false" ht="15" hidden="false" customHeight="false" outlineLevel="0" collapsed="false">
      <c r="A224" s="4"/>
      <c r="B224" s="18"/>
      <c r="C224" s="18"/>
      <c r="D224" s="26"/>
      <c r="E224" s="18"/>
      <c r="F224" s="18"/>
    </row>
    <row r="225" customFormat="false" ht="15" hidden="false" customHeight="false" outlineLevel="0" collapsed="false">
      <c r="A225" s="4"/>
      <c r="B225" s="18"/>
      <c r="C225" s="18"/>
      <c r="D225" s="26"/>
      <c r="E225" s="18"/>
      <c r="F225" s="18"/>
    </row>
    <row r="226" customFormat="false" ht="15" hidden="false" customHeight="false" outlineLevel="0" collapsed="false">
      <c r="A226" s="4"/>
      <c r="B226" s="18"/>
      <c r="C226" s="18"/>
      <c r="D226" s="26"/>
      <c r="E226" s="18"/>
      <c r="F226" s="18"/>
    </row>
    <row r="227" customFormat="false" ht="15" hidden="false" customHeight="false" outlineLevel="0" collapsed="false">
      <c r="A227" s="4"/>
      <c r="B227" s="18"/>
      <c r="C227" s="18"/>
      <c r="D227" s="26"/>
      <c r="E227" s="18"/>
      <c r="F227" s="18"/>
    </row>
    <row r="228" customFormat="false" ht="15" hidden="false" customHeight="false" outlineLevel="0" collapsed="false">
      <c r="A228" s="4"/>
      <c r="B228" s="18"/>
      <c r="C228" s="18"/>
      <c r="D228" s="26"/>
      <c r="E228" s="18"/>
      <c r="F228" s="18"/>
    </row>
    <row r="229" customFormat="false" ht="15" hidden="false" customHeight="false" outlineLevel="0" collapsed="false">
      <c r="A229" s="4"/>
      <c r="B229" s="18"/>
      <c r="C229" s="18"/>
      <c r="D229" s="26"/>
      <c r="E229" s="18"/>
      <c r="F229" s="18"/>
    </row>
    <row r="230" customFormat="false" ht="15" hidden="false" customHeight="false" outlineLevel="0" collapsed="false">
      <c r="A230" s="4"/>
      <c r="B230" s="18"/>
      <c r="C230" s="18"/>
      <c r="D230" s="26"/>
      <c r="E230" s="18"/>
      <c r="F230" s="18"/>
    </row>
    <row r="231" customFormat="false" ht="15" hidden="false" customHeight="false" outlineLevel="0" collapsed="false">
      <c r="A231" s="4"/>
      <c r="B231" s="18"/>
      <c r="C231" s="18"/>
      <c r="D231" s="26"/>
      <c r="E231" s="18"/>
      <c r="F231" s="18"/>
    </row>
    <row r="232" customFormat="false" ht="15" hidden="false" customHeight="false" outlineLevel="0" collapsed="false">
      <c r="A232" s="4"/>
      <c r="B232" s="18"/>
      <c r="C232" s="18"/>
      <c r="D232" s="26"/>
      <c r="E232" s="18"/>
      <c r="F232" s="18"/>
    </row>
    <row r="233" customFormat="false" ht="15" hidden="false" customHeight="false" outlineLevel="0" collapsed="false">
      <c r="A233" s="4"/>
      <c r="B233" s="18"/>
      <c r="C233" s="18"/>
      <c r="D233" s="26"/>
      <c r="E233" s="18"/>
      <c r="F233" s="18"/>
    </row>
    <row r="234" customFormat="false" ht="15" hidden="false" customHeight="false" outlineLevel="0" collapsed="false">
      <c r="A234" s="4"/>
      <c r="B234" s="18"/>
      <c r="C234" s="18"/>
      <c r="D234" s="26"/>
      <c r="E234" s="18"/>
      <c r="F234" s="18"/>
    </row>
    <row r="235" customFormat="false" ht="15" hidden="false" customHeight="false" outlineLevel="0" collapsed="false">
      <c r="A235" s="4"/>
      <c r="B235" s="18"/>
      <c r="C235" s="18"/>
      <c r="D235" s="26"/>
      <c r="E235" s="18"/>
      <c r="F235" s="18"/>
    </row>
    <row r="236" customFormat="false" ht="15" hidden="false" customHeight="false" outlineLevel="0" collapsed="false">
      <c r="A236" s="4"/>
      <c r="B236" s="18"/>
      <c r="C236" s="18"/>
      <c r="D236" s="26"/>
      <c r="E236" s="18"/>
      <c r="F236" s="18"/>
    </row>
    <row r="237" customFormat="false" ht="15" hidden="false" customHeight="false" outlineLevel="0" collapsed="false">
      <c r="A237" s="4"/>
      <c r="B237" s="18"/>
      <c r="C237" s="18"/>
      <c r="D237" s="26"/>
      <c r="E237" s="18"/>
      <c r="F237" s="18"/>
    </row>
    <row r="238" customFormat="false" ht="15" hidden="false" customHeight="false" outlineLevel="0" collapsed="false">
      <c r="A238" s="4"/>
      <c r="B238" s="18"/>
      <c r="C238" s="18"/>
      <c r="D238" s="26"/>
      <c r="E238" s="18"/>
      <c r="F238" s="18"/>
    </row>
    <row r="239" customFormat="false" ht="15" hidden="false" customHeight="false" outlineLevel="0" collapsed="false">
      <c r="A239" s="4"/>
      <c r="B239" s="18"/>
      <c r="C239" s="18"/>
      <c r="D239" s="26"/>
      <c r="E239" s="18"/>
      <c r="F239" s="18"/>
    </row>
    <row r="240" customFormat="false" ht="15" hidden="false" customHeight="false" outlineLevel="0" collapsed="false">
      <c r="A240" s="4"/>
      <c r="B240" s="18"/>
      <c r="C240" s="18"/>
      <c r="D240" s="26"/>
      <c r="E240" s="18"/>
      <c r="F240" s="18"/>
    </row>
    <row r="241" customFormat="false" ht="15" hidden="false" customHeight="false" outlineLevel="0" collapsed="false">
      <c r="A241" s="4"/>
      <c r="B241" s="18"/>
      <c r="C241" s="18"/>
      <c r="D241" s="26"/>
      <c r="E241" s="18"/>
      <c r="F241" s="18"/>
    </row>
    <row r="242" customFormat="false" ht="15" hidden="false" customHeight="false" outlineLevel="0" collapsed="false">
      <c r="A242" s="4"/>
      <c r="B242" s="18"/>
      <c r="C242" s="18"/>
      <c r="D242" s="26"/>
      <c r="E242" s="18"/>
      <c r="F242" s="18"/>
    </row>
    <row r="243" customFormat="false" ht="15" hidden="false" customHeight="false" outlineLevel="0" collapsed="false">
      <c r="A243" s="4"/>
      <c r="B243" s="18"/>
      <c r="C243" s="18"/>
      <c r="D243" s="26"/>
      <c r="E243" s="18"/>
      <c r="F243" s="18"/>
    </row>
    <row r="244" customFormat="false" ht="15" hidden="false" customHeight="false" outlineLevel="0" collapsed="false">
      <c r="A244" s="4"/>
      <c r="B244" s="18"/>
      <c r="C244" s="18"/>
      <c r="D244" s="26"/>
      <c r="E244" s="18"/>
      <c r="F244" s="18"/>
    </row>
    <row r="245" customFormat="false" ht="15" hidden="false" customHeight="false" outlineLevel="0" collapsed="false">
      <c r="A245" s="4"/>
      <c r="B245" s="18"/>
      <c r="C245" s="18"/>
      <c r="D245" s="26"/>
      <c r="E245" s="18"/>
      <c r="F245" s="18"/>
    </row>
    <row r="246" customFormat="false" ht="15" hidden="false" customHeight="false" outlineLevel="0" collapsed="false">
      <c r="A246" s="4"/>
      <c r="B246" s="18"/>
      <c r="C246" s="18"/>
      <c r="D246" s="26"/>
      <c r="E246" s="18"/>
      <c r="F246" s="18"/>
    </row>
    <row r="247" customFormat="false" ht="15" hidden="false" customHeight="false" outlineLevel="0" collapsed="false">
      <c r="A247" s="4"/>
      <c r="B247" s="18"/>
      <c r="C247" s="18"/>
      <c r="D247" s="26"/>
      <c r="E247" s="18"/>
      <c r="F247" s="18"/>
    </row>
    <row r="248" customFormat="false" ht="15" hidden="false" customHeight="false" outlineLevel="0" collapsed="false">
      <c r="A248" s="4"/>
      <c r="B248" s="18"/>
      <c r="C248" s="18"/>
      <c r="D248" s="26"/>
      <c r="E248" s="18"/>
      <c r="F248" s="18"/>
    </row>
    <row r="249" customFormat="false" ht="15" hidden="false" customHeight="false" outlineLevel="0" collapsed="false">
      <c r="A249" s="4"/>
      <c r="B249" s="18"/>
      <c r="C249" s="18"/>
      <c r="D249" s="26"/>
      <c r="E249" s="18"/>
      <c r="F249" s="18"/>
    </row>
    <row r="250" customFormat="false" ht="15" hidden="false" customHeight="false" outlineLevel="0" collapsed="false">
      <c r="A250" s="4"/>
      <c r="B250" s="18"/>
      <c r="C250" s="18"/>
      <c r="D250" s="26"/>
      <c r="E250" s="18"/>
      <c r="F250" s="18"/>
    </row>
    <row r="251" customFormat="false" ht="15" hidden="false" customHeight="false" outlineLevel="0" collapsed="false">
      <c r="A251" s="4"/>
      <c r="B251" s="18"/>
      <c r="C251" s="18"/>
      <c r="D251" s="26"/>
      <c r="E251" s="18"/>
      <c r="F251" s="18"/>
    </row>
    <row r="252" customFormat="false" ht="15" hidden="false" customHeight="false" outlineLevel="0" collapsed="false">
      <c r="A252" s="4"/>
      <c r="B252" s="18"/>
      <c r="C252" s="18"/>
      <c r="D252" s="26"/>
      <c r="E252" s="18"/>
      <c r="F252" s="18"/>
    </row>
    <row r="253" customFormat="false" ht="15" hidden="false" customHeight="false" outlineLevel="0" collapsed="false">
      <c r="A253" s="4"/>
      <c r="B253" s="18"/>
      <c r="C253" s="18"/>
      <c r="D253" s="26"/>
      <c r="E253" s="18"/>
      <c r="F253" s="18"/>
    </row>
    <row r="254" customFormat="false" ht="15" hidden="false" customHeight="false" outlineLevel="0" collapsed="false">
      <c r="A254" s="4"/>
      <c r="B254" s="18"/>
      <c r="C254" s="18"/>
      <c r="D254" s="26"/>
      <c r="E254" s="18"/>
      <c r="F254" s="18"/>
    </row>
    <row r="255" customFormat="false" ht="15" hidden="false" customHeight="false" outlineLevel="0" collapsed="false">
      <c r="A255" s="4"/>
      <c r="B255" s="18"/>
      <c r="C255" s="18"/>
      <c r="D255" s="26"/>
      <c r="E255" s="18"/>
      <c r="F255" s="18"/>
    </row>
    <row r="256" customFormat="false" ht="15" hidden="false" customHeight="false" outlineLevel="0" collapsed="false">
      <c r="A256" s="4"/>
      <c r="B256" s="18"/>
      <c r="C256" s="18"/>
      <c r="D256" s="26"/>
      <c r="E256" s="18"/>
      <c r="F256" s="18"/>
    </row>
    <row r="257" customFormat="false" ht="15" hidden="false" customHeight="false" outlineLevel="0" collapsed="false">
      <c r="A257" s="4"/>
      <c r="B257" s="18"/>
      <c r="C257" s="18"/>
      <c r="D257" s="26"/>
      <c r="E257" s="18"/>
      <c r="F257" s="18"/>
    </row>
    <row r="258" customFormat="false" ht="15" hidden="false" customHeight="false" outlineLevel="0" collapsed="false">
      <c r="A258" s="4"/>
      <c r="B258" s="18"/>
      <c r="C258" s="18"/>
      <c r="D258" s="26"/>
      <c r="E258" s="18"/>
      <c r="F258" s="18"/>
    </row>
    <row r="259" customFormat="false" ht="15" hidden="false" customHeight="false" outlineLevel="0" collapsed="false">
      <c r="A259" s="4"/>
      <c r="B259" s="18"/>
      <c r="C259" s="18"/>
      <c r="D259" s="26"/>
      <c r="E259" s="18"/>
      <c r="F259" s="18"/>
    </row>
    <row r="260" customFormat="false" ht="15" hidden="false" customHeight="false" outlineLevel="0" collapsed="false">
      <c r="A260" s="4"/>
      <c r="B260" s="18"/>
      <c r="C260" s="18"/>
      <c r="D260" s="26"/>
      <c r="E260" s="18"/>
      <c r="F260" s="18"/>
    </row>
    <row r="261" customFormat="false" ht="15" hidden="false" customHeight="false" outlineLevel="0" collapsed="false">
      <c r="A261" s="4"/>
      <c r="B261" s="18"/>
      <c r="C261" s="18"/>
      <c r="D261" s="26"/>
      <c r="E261" s="18"/>
      <c r="F261" s="18"/>
    </row>
    <row r="262" customFormat="false" ht="15" hidden="false" customHeight="false" outlineLevel="0" collapsed="false">
      <c r="A262" s="4"/>
      <c r="B262" s="18"/>
      <c r="C262" s="18"/>
      <c r="D262" s="26"/>
      <c r="E262" s="18"/>
      <c r="F262" s="18"/>
    </row>
    <row r="263" customFormat="false" ht="15" hidden="false" customHeight="false" outlineLevel="0" collapsed="false">
      <c r="A263" s="4"/>
      <c r="B263" s="18"/>
      <c r="C263" s="18"/>
      <c r="D263" s="26"/>
      <c r="E263" s="18"/>
      <c r="F263" s="18"/>
    </row>
    <row r="264" customFormat="false" ht="15" hidden="false" customHeight="false" outlineLevel="0" collapsed="false">
      <c r="A264" s="4"/>
      <c r="B264" s="18"/>
      <c r="C264" s="18"/>
      <c r="D264" s="26"/>
      <c r="E264" s="18"/>
      <c r="F264" s="18"/>
    </row>
    <row r="265" customFormat="false" ht="15" hidden="false" customHeight="false" outlineLevel="0" collapsed="false">
      <c r="A265" s="4"/>
      <c r="B265" s="18"/>
      <c r="C265" s="18"/>
      <c r="D265" s="26"/>
      <c r="E265" s="18"/>
      <c r="F265" s="18"/>
    </row>
    <row r="266" customFormat="false" ht="15" hidden="false" customHeight="false" outlineLevel="0" collapsed="false">
      <c r="A266" s="4"/>
      <c r="B266" s="18"/>
      <c r="C266" s="18"/>
      <c r="D266" s="26"/>
      <c r="E266" s="18"/>
      <c r="F266" s="18"/>
    </row>
    <row r="267" customFormat="false" ht="15" hidden="false" customHeight="false" outlineLevel="0" collapsed="false">
      <c r="A267" s="4"/>
      <c r="B267" s="18"/>
      <c r="C267" s="18"/>
      <c r="D267" s="26"/>
      <c r="E267" s="18"/>
      <c r="F267" s="18"/>
    </row>
    <row r="268" customFormat="false" ht="15" hidden="false" customHeight="false" outlineLevel="0" collapsed="false">
      <c r="A268" s="4"/>
      <c r="B268" s="18"/>
      <c r="C268" s="18"/>
      <c r="D268" s="26"/>
      <c r="E268" s="18"/>
      <c r="F268" s="18"/>
    </row>
    <row r="269" customFormat="false" ht="15" hidden="false" customHeight="false" outlineLevel="0" collapsed="false">
      <c r="A269" s="4"/>
      <c r="B269" s="18"/>
      <c r="C269" s="18"/>
      <c r="D269" s="26"/>
      <c r="E269" s="18"/>
      <c r="F269" s="18"/>
    </row>
    <row r="270" customFormat="false" ht="15" hidden="false" customHeight="false" outlineLevel="0" collapsed="false">
      <c r="A270" s="4"/>
      <c r="B270" s="18"/>
      <c r="C270" s="18"/>
      <c r="D270" s="26"/>
      <c r="E270" s="18"/>
      <c r="F270" s="18"/>
    </row>
    <row r="271" customFormat="false" ht="15" hidden="false" customHeight="false" outlineLevel="0" collapsed="false">
      <c r="A271" s="4"/>
      <c r="B271" s="18"/>
      <c r="C271" s="18"/>
      <c r="D271" s="26"/>
      <c r="E271" s="18"/>
      <c r="F271" s="18"/>
    </row>
    <row r="272" customFormat="false" ht="15" hidden="false" customHeight="false" outlineLevel="0" collapsed="false">
      <c r="A272" s="4"/>
      <c r="B272" s="18"/>
      <c r="C272" s="18"/>
      <c r="D272" s="26"/>
      <c r="E272" s="18"/>
      <c r="F272" s="18"/>
    </row>
    <row r="273" customFormat="false" ht="15" hidden="false" customHeight="false" outlineLevel="0" collapsed="false">
      <c r="A273" s="4"/>
      <c r="B273" s="18"/>
      <c r="C273" s="18"/>
      <c r="D273" s="26"/>
      <c r="E273" s="18"/>
      <c r="F273" s="18"/>
    </row>
    <row r="274" customFormat="false" ht="15" hidden="false" customHeight="false" outlineLevel="0" collapsed="false">
      <c r="A274" s="4"/>
      <c r="B274" s="18"/>
      <c r="C274" s="18"/>
      <c r="D274" s="26"/>
      <c r="E274" s="18"/>
      <c r="F274" s="18"/>
    </row>
    <row r="275" customFormat="false" ht="15" hidden="false" customHeight="false" outlineLevel="0" collapsed="false">
      <c r="A275" s="4"/>
      <c r="B275" s="18"/>
      <c r="C275" s="18"/>
      <c r="D275" s="26"/>
      <c r="E275" s="18"/>
      <c r="F275" s="18"/>
    </row>
    <row r="276" customFormat="false" ht="15" hidden="false" customHeight="false" outlineLevel="0" collapsed="false">
      <c r="A276" s="4"/>
      <c r="B276" s="18"/>
      <c r="C276" s="18"/>
      <c r="D276" s="26"/>
      <c r="E276" s="18"/>
      <c r="F276" s="18"/>
    </row>
    <row r="277" customFormat="false" ht="15" hidden="false" customHeight="false" outlineLevel="0" collapsed="false">
      <c r="A277" s="4"/>
      <c r="B277" s="18"/>
      <c r="C277" s="18"/>
      <c r="D277" s="26"/>
      <c r="E277" s="18"/>
      <c r="F277" s="18"/>
    </row>
    <row r="278" customFormat="false" ht="15" hidden="false" customHeight="false" outlineLevel="0" collapsed="false">
      <c r="A278" s="4"/>
      <c r="B278" s="18"/>
      <c r="C278" s="18"/>
      <c r="D278" s="26"/>
      <c r="E278" s="18"/>
      <c r="F278" s="18"/>
    </row>
    <row r="279" customFormat="false" ht="15" hidden="false" customHeight="false" outlineLevel="0" collapsed="false">
      <c r="A279" s="4"/>
      <c r="B279" s="18"/>
      <c r="C279" s="18"/>
      <c r="D279" s="26"/>
      <c r="E279" s="18"/>
      <c r="F279" s="18"/>
    </row>
    <row r="280" customFormat="false" ht="15" hidden="false" customHeight="false" outlineLevel="0" collapsed="false">
      <c r="A280" s="4"/>
      <c r="B280" s="18"/>
      <c r="C280" s="18"/>
      <c r="D280" s="26"/>
      <c r="E280" s="18"/>
      <c r="F280" s="18"/>
    </row>
    <row r="281" customFormat="false" ht="15" hidden="false" customHeight="false" outlineLevel="0" collapsed="false">
      <c r="A281" s="4"/>
      <c r="B281" s="18"/>
      <c r="C281" s="18"/>
      <c r="D281" s="26"/>
      <c r="E281" s="18"/>
      <c r="F281" s="18"/>
    </row>
    <row r="282" customFormat="false" ht="15" hidden="false" customHeight="false" outlineLevel="0" collapsed="false">
      <c r="A282" s="4"/>
      <c r="B282" s="18"/>
      <c r="C282" s="18"/>
      <c r="D282" s="26"/>
      <c r="E282" s="18"/>
      <c r="F282" s="18"/>
    </row>
    <row r="283" customFormat="false" ht="15" hidden="false" customHeight="false" outlineLevel="0" collapsed="false">
      <c r="A283" s="4"/>
      <c r="B283" s="18"/>
      <c r="C283" s="18"/>
      <c r="D283" s="26"/>
      <c r="E283" s="18"/>
      <c r="F283" s="18"/>
    </row>
    <row r="284" customFormat="false" ht="15" hidden="false" customHeight="false" outlineLevel="0" collapsed="false">
      <c r="A284" s="4"/>
      <c r="B284" s="18"/>
      <c r="C284" s="18"/>
      <c r="D284" s="26"/>
      <c r="E284" s="18"/>
      <c r="F284" s="18"/>
    </row>
    <row r="285" customFormat="false" ht="15" hidden="false" customHeight="false" outlineLevel="0" collapsed="false">
      <c r="A285" s="4"/>
      <c r="B285" s="18"/>
      <c r="C285" s="18"/>
      <c r="D285" s="26"/>
      <c r="E285" s="18"/>
      <c r="F285" s="18"/>
    </row>
    <row r="286" customFormat="false" ht="15" hidden="false" customHeight="false" outlineLevel="0" collapsed="false">
      <c r="A286" s="4"/>
      <c r="B286" s="18"/>
      <c r="C286" s="18"/>
      <c r="D286" s="26"/>
      <c r="E286" s="18"/>
      <c r="F286" s="18"/>
    </row>
    <row r="287" customFormat="false" ht="15" hidden="false" customHeight="false" outlineLevel="0" collapsed="false">
      <c r="A287" s="4"/>
      <c r="B287" s="18"/>
      <c r="C287" s="18"/>
      <c r="D287" s="26"/>
      <c r="E287" s="18"/>
      <c r="F287" s="18"/>
    </row>
    <row r="288" customFormat="false" ht="15" hidden="false" customHeight="false" outlineLevel="0" collapsed="false">
      <c r="A288" s="4"/>
      <c r="B288" s="18"/>
      <c r="C288" s="18"/>
      <c r="D288" s="26"/>
      <c r="E288" s="18"/>
      <c r="F288" s="18"/>
    </row>
    <row r="289" customFormat="false" ht="15" hidden="false" customHeight="false" outlineLevel="0" collapsed="false">
      <c r="A289" s="4"/>
      <c r="B289" s="18"/>
      <c r="C289" s="18"/>
      <c r="D289" s="26"/>
      <c r="E289" s="18"/>
      <c r="F289" s="18"/>
    </row>
    <row r="290" customFormat="false" ht="15" hidden="false" customHeight="false" outlineLevel="0" collapsed="false">
      <c r="A290" s="4"/>
      <c r="B290" s="18"/>
      <c r="C290" s="18"/>
      <c r="D290" s="26"/>
      <c r="E290" s="18"/>
      <c r="F290" s="18"/>
    </row>
    <row r="291" customFormat="false" ht="15" hidden="false" customHeight="false" outlineLevel="0" collapsed="false">
      <c r="A291" s="4"/>
      <c r="B291" s="18"/>
      <c r="C291" s="18"/>
      <c r="D291" s="26"/>
      <c r="E291" s="18"/>
      <c r="F291" s="18"/>
    </row>
    <row r="292" customFormat="false" ht="15" hidden="false" customHeight="false" outlineLevel="0" collapsed="false">
      <c r="A292" s="4"/>
      <c r="B292" s="18"/>
      <c r="C292" s="18"/>
      <c r="D292" s="26"/>
      <c r="E292" s="18"/>
      <c r="F292" s="18"/>
    </row>
    <row r="293" customFormat="false" ht="15" hidden="false" customHeight="false" outlineLevel="0" collapsed="false">
      <c r="A293" s="4"/>
      <c r="B293" s="18"/>
      <c r="C293" s="18"/>
      <c r="D293" s="26"/>
      <c r="E293" s="18"/>
      <c r="F293" s="18"/>
    </row>
    <row r="294" customFormat="false" ht="15" hidden="false" customHeight="false" outlineLevel="0" collapsed="false">
      <c r="A294" s="4"/>
      <c r="B294" s="18"/>
      <c r="C294" s="18"/>
      <c r="D294" s="26"/>
      <c r="E294" s="18"/>
      <c r="F294" s="18"/>
    </row>
    <row r="295" customFormat="false" ht="15" hidden="false" customHeight="false" outlineLevel="0" collapsed="false">
      <c r="A295" s="4"/>
      <c r="B295" s="18"/>
      <c r="C295" s="18"/>
      <c r="D295" s="26"/>
      <c r="E295" s="18"/>
      <c r="F295" s="18"/>
    </row>
    <row r="296" customFormat="false" ht="15" hidden="false" customHeight="false" outlineLevel="0" collapsed="false">
      <c r="A296" s="4"/>
      <c r="B296" s="18"/>
      <c r="C296" s="18"/>
      <c r="D296" s="26"/>
      <c r="E296" s="18"/>
      <c r="F296" s="18"/>
    </row>
    <row r="297" customFormat="false" ht="15" hidden="false" customHeight="false" outlineLevel="0" collapsed="false">
      <c r="A297" s="4"/>
      <c r="B297" s="18"/>
      <c r="C297" s="18"/>
      <c r="D297" s="26"/>
      <c r="E297" s="18"/>
      <c r="F297" s="18"/>
    </row>
    <row r="298" customFormat="false" ht="15" hidden="false" customHeight="false" outlineLevel="0" collapsed="false">
      <c r="A298" s="4"/>
      <c r="B298" s="18"/>
      <c r="C298" s="18"/>
      <c r="D298" s="26"/>
      <c r="E298" s="18"/>
      <c r="F298" s="18"/>
    </row>
    <row r="299" customFormat="false" ht="15" hidden="false" customHeight="false" outlineLevel="0" collapsed="false">
      <c r="A299" s="4"/>
      <c r="B299" s="18"/>
      <c r="C299" s="18"/>
      <c r="D299" s="26"/>
      <c r="E299" s="18"/>
      <c r="F299" s="18"/>
    </row>
    <row r="300" customFormat="false" ht="15" hidden="false" customHeight="false" outlineLevel="0" collapsed="false">
      <c r="A300" s="4"/>
      <c r="B300" s="18"/>
      <c r="C300" s="18"/>
      <c r="D300" s="26"/>
      <c r="E300" s="18"/>
      <c r="F300" s="18"/>
    </row>
    <row r="301" customFormat="false" ht="15" hidden="false" customHeight="false" outlineLevel="0" collapsed="false">
      <c r="A301" s="4"/>
      <c r="B301" s="18"/>
      <c r="C301" s="18"/>
      <c r="D301" s="26"/>
      <c r="E301" s="18"/>
      <c r="F301" s="18"/>
    </row>
    <row r="302" customFormat="false" ht="15" hidden="false" customHeight="false" outlineLevel="0" collapsed="false">
      <c r="A302" s="4"/>
      <c r="B302" s="18"/>
      <c r="C302" s="18"/>
      <c r="D302" s="26"/>
      <c r="E302" s="18"/>
      <c r="F302" s="18"/>
    </row>
    <row r="303" customFormat="false" ht="15" hidden="false" customHeight="false" outlineLevel="0" collapsed="false">
      <c r="A303" s="4"/>
      <c r="B303" s="18"/>
      <c r="C303" s="18"/>
      <c r="D303" s="26"/>
      <c r="E303" s="18"/>
      <c r="F303" s="18"/>
    </row>
    <row r="304" customFormat="false" ht="15" hidden="false" customHeight="false" outlineLevel="0" collapsed="false">
      <c r="A304" s="4"/>
      <c r="B304" s="18"/>
      <c r="C304" s="18"/>
      <c r="D304" s="26"/>
      <c r="E304" s="18"/>
      <c r="F304" s="18"/>
    </row>
    <row r="305" customFormat="false" ht="15" hidden="false" customHeight="false" outlineLevel="0" collapsed="false">
      <c r="A305" s="4"/>
      <c r="B305" s="18"/>
      <c r="C305" s="18"/>
      <c r="D305" s="26"/>
      <c r="E305" s="18"/>
      <c r="F305" s="18"/>
    </row>
    <row r="306" customFormat="false" ht="15" hidden="false" customHeight="false" outlineLevel="0" collapsed="false">
      <c r="A306" s="4"/>
      <c r="B306" s="18"/>
      <c r="C306" s="18"/>
      <c r="D306" s="26"/>
      <c r="E306" s="18"/>
      <c r="F306" s="18"/>
    </row>
    <row r="307" customFormat="false" ht="15" hidden="false" customHeight="false" outlineLevel="0" collapsed="false">
      <c r="A307" s="4"/>
      <c r="B307" s="18"/>
      <c r="C307" s="18"/>
      <c r="D307" s="26"/>
      <c r="E307" s="18"/>
      <c r="F307" s="18"/>
    </row>
    <row r="308" customFormat="false" ht="15" hidden="false" customHeight="false" outlineLevel="0" collapsed="false">
      <c r="A308" s="4"/>
      <c r="B308" s="18"/>
      <c r="C308" s="18"/>
      <c r="D308" s="26"/>
      <c r="E308" s="18"/>
      <c r="F308" s="18"/>
    </row>
    <row r="309" customFormat="false" ht="15" hidden="false" customHeight="false" outlineLevel="0" collapsed="false">
      <c r="A309" s="4"/>
      <c r="B309" s="18"/>
      <c r="C309" s="18"/>
      <c r="D309" s="26"/>
      <c r="E309" s="18"/>
      <c r="F309" s="18"/>
    </row>
    <row r="310" customFormat="false" ht="15" hidden="false" customHeight="false" outlineLevel="0" collapsed="false">
      <c r="A310" s="4"/>
      <c r="B310" s="18"/>
      <c r="C310" s="18"/>
      <c r="D310" s="26"/>
      <c r="E310" s="18"/>
      <c r="F310" s="18"/>
    </row>
    <row r="311" customFormat="false" ht="15" hidden="false" customHeight="false" outlineLevel="0" collapsed="false">
      <c r="A311" s="4"/>
      <c r="B311" s="18"/>
      <c r="C311" s="18"/>
      <c r="D311" s="26"/>
      <c r="E311" s="18"/>
      <c r="F311" s="18"/>
    </row>
    <row r="312" customFormat="false" ht="15" hidden="false" customHeight="false" outlineLevel="0" collapsed="false">
      <c r="A312" s="4"/>
      <c r="B312" s="18"/>
      <c r="C312" s="18"/>
      <c r="D312" s="26"/>
      <c r="E312" s="18"/>
      <c r="F312" s="18"/>
    </row>
    <row r="313" customFormat="false" ht="15" hidden="false" customHeight="false" outlineLevel="0" collapsed="false">
      <c r="A313" s="4"/>
      <c r="B313" s="18"/>
      <c r="C313" s="18"/>
      <c r="D313" s="26"/>
      <c r="E313" s="18"/>
      <c r="F313" s="18"/>
    </row>
    <row r="314" customFormat="false" ht="15" hidden="false" customHeight="false" outlineLevel="0" collapsed="false">
      <c r="A314" s="4"/>
      <c r="B314" s="18"/>
      <c r="C314" s="18"/>
      <c r="D314" s="26"/>
      <c r="E314" s="18"/>
      <c r="F314" s="18"/>
    </row>
    <row r="315" customFormat="false" ht="15" hidden="false" customHeight="false" outlineLevel="0" collapsed="false">
      <c r="A315" s="4"/>
      <c r="B315" s="18"/>
      <c r="C315" s="18"/>
      <c r="D315" s="26"/>
      <c r="E315" s="18"/>
      <c r="F315" s="18"/>
    </row>
    <row r="316" customFormat="false" ht="15" hidden="false" customHeight="false" outlineLevel="0" collapsed="false">
      <c r="A316" s="4"/>
      <c r="B316" s="18"/>
      <c r="C316" s="18"/>
      <c r="D316" s="26"/>
      <c r="E316" s="18"/>
      <c r="F316" s="18"/>
    </row>
    <row r="317" customFormat="false" ht="15" hidden="false" customHeight="false" outlineLevel="0" collapsed="false">
      <c r="A317" s="4"/>
      <c r="B317" s="18"/>
      <c r="C317" s="18"/>
      <c r="D317" s="26"/>
      <c r="E317" s="18"/>
      <c r="F317" s="18"/>
    </row>
    <row r="318" customFormat="false" ht="15" hidden="false" customHeight="false" outlineLevel="0" collapsed="false">
      <c r="A318" s="4"/>
      <c r="B318" s="18"/>
      <c r="C318" s="18"/>
      <c r="D318" s="26"/>
      <c r="E318" s="18"/>
      <c r="F318" s="18"/>
    </row>
    <row r="319" customFormat="false" ht="15" hidden="false" customHeight="false" outlineLevel="0" collapsed="false">
      <c r="A319" s="4"/>
      <c r="B319" s="18"/>
      <c r="C319" s="18"/>
      <c r="D319" s="26"/>
      <c r="E319" s="18"/>
      <c r="F319" s="18"/>
    </row>
    <row r="320" customFormat="false" ht="15" hidden="false" customHeight="false" outlineLevel="0" collapsed="false">
      <c r="A320" s="4"/>
      <c r="B320" s="18"/>
      <c r="C320" s="18"/>
      <c r="D320" s="26"/>
      <c r="E320" s="18"/>
      <c r="F320" s="18"/>
    </row>
    <row r="321" customFormat="false" ht="15" hidden="false" customHeight="false" outlineLevel="0" collapsed="false">
      <c r="A321" s="4"/>
      <c r="B321" s="18"/>
      <c r="C321" s="18"/>
      <c r="D321" s="26"/>
      <c r="E321" s="18"/>
      <c r="F321" s="18"/>
    </row>
    <row r="322" customFormat="false" ht="15" hidden="false" customHeight="false" outlineLevel="0" collapsed="false">
      <c r="A322" s="4"/>
      <c r="B322" s="18"/>
      <c r="C322" s="18"/>
      <c r="D322" s="26"/>
      <c r="E322" s="18"/>
      <c r="F322" s="18"/>
    </row>
    <row r="323" customFormat="false" ht="15" hidden="false" customHeight="false" outlineLevel="0" collapsed="false">
      <c r="A323" s="4"/>
      <c r="B323" s="18"/>
      <c r="C323" s="18"/>
      <c r="D323" s="26"/>
      <c r="E323" s="18"/>
      <c r="F323" s="18"/>
    </row>
    <row r="324" customFormat="false" ht="15" hidden="false" customHeight="false" outlineLevel="0" collapsed="false">
      <c r="A324" s="4"/>
      <c r="B324" s="18"/>
      <c r="C324" s="18"/>
      <c r="D324" s="26"/>
      <c r="E324" s="18"/>
      <c r="F324" s="18"/>
    </row>
    <row r="325" customFormat="false" ht="15" hidden="false" customHeight="false" outlineLevel="0" collapsed="false">
      <c r="A325" s="4"/>
      <c r="B325" s="18"/>
      <c r="C325" s="18"/>
      <c r="D325" s="26"/>
      <c r="E325" s="18"/>
      <c r="F325" s="18"/>
    </row>
    <row r="326" customFormat="false" ht="15" hidden="false" customHeight="false" outlineLevel="0" collapsed="false">
      <c r="A326" s="4"/>
      <c r="B326" s="18"/>
      <c r="C326" s="18"/>
      <c r="D326" s="26"/>
      <c r="E326" s="18"/>
      <c r="F326" s="18"/>
    </row>
    <row r="327" customFormat="false" ht="15" hidden="false" customHeight="false" outlineLevel="0" collapsed="false">
      <c r="A327" s="4"/>
      <c r="B327" s="18"/>
      <c r="C327" s="18"/>
      <c r="D327" s="26"/>
      <c r="E327" s="18"/>
      <c r="F327" s="18"/>
    </row>
    <row r="328" customFormat="false" ht="15" hidden="false" customHeight="false" outlineLevel="0" collapsed="false">
      <c r="A328" s="4"/>
      <c r="B328" s="18"/>
      <c r="C328" s="18"/>
      <c r="D328" s="26"/>
      <c r="E328" s="18"/>
      <c r="F328" s="18"/>
    </row>
    <row r="329" customFormat="false" ht="15" hidden="false" customHeight="false" outlineLevel="0" collapsed="false">
      <c r="A329" s="4"/>
      <c r="B329" s="18"/>
      <c r="C329" s="18"/>
      <c r="D329" s="26"/>
      <c r="E329" s="18"/>
      <c r="F329" s="18"/>
    </row>
    <row r="330" customFormat="false" ht="15" hidden="false" customHeight="false" outlineLevel="0" collapsed="false">
      <c r="A330" s="4"/>
      <c r="B330" s="18"/>
      <c r="C330" s="18"/>
      <c r="D330" s="26"/>
      <c r="E330" s="18"/>
      <c r="F330" s="18"/>
    </row>
    <row r="331" customFormat="false" ht="15" hidden="false" customHeight="false" outlineLevel="0" collapsed="false">
      <c r="A331" s="4"/>
      <c r="B331" s="18"/>
      <c r="C331" s="18"/>
      <c r="D331" s="26"/>
      <c r="E331" s="18"/>
      <c r="F331" s="18"/>
    </row>
    <row r="332" customFormat="false" ht="15" hidden="false" customHeight="false" outlineLevel="0" collapsed="false">
      <c r="A332" s="4"/>
      <c r="B332" s="18"/>
      <c r="C332" s="18"/>
      <c r="D332" s="26"/>
      <c r="E332" s="18"/>
      <c r="F332" s="18"/>
    </row>
    <row r="333" customFormat="false" ht="15" hidden="false" customHeight="false" outlineLevel="0" collapsed="false">
      <c r="A333" s="4"/>
      <c r="B333" s="18"/>
      <c r="C333" s="18"/>
      <c r="D333" s="26"/>
      <c r="E333" s="18"/>
      <c r="F333" s="18"/>
    </row>
    <row r="334" customFormat="false" ht="15" hidden="false" customHeight="false" outlineLevel="0" collapsed="false">
      <c r="A334" s="4"/>
      <c r="B334" s="18"/>
      <c r="C334" s="18"/>
      <c r="D334" s="26"/>
      <c r="E334" s="18"/>
      <c r="F334" s="18"/>
    </row>
    <row r="335" customFormat="false" ht="15" hidden="false" customHeight="false" outlineLevel="0" collapsed="false">
      <c r="A335" s="4"/>
      <c r="B335" s="18"/>
      <c r="C335" s="18"/>
      <c r="D335" s="26"/>
      <c r="E335" s="18"/>
      <c r="F335" s="18"/>
    </row>
    <row r="336" customFormat="false" ht="15" hidden="false" customHeight="false" outlineLevel="0" collapsed="false">
      <c r="A336" s="4"/>
      <c r="B336" s="18"/>
      <c r="C336" s="18"/>
      <c r="D336" s="26"/>
      <c r="E336" s="18"/>
      <c r="F336" s="18"/>
    </row>
    <row r="337" customFormat="false" ht="15" hidden="false" customHeight="false" outlineLevel="0" collapsed="false">
      <c r="A337" s="4"/>
      <c r="B337" s="18"/>
      <c r="C337" s="18"/>
      <c r="D337" s="26"/>
      <c r="E337" s="18"/>
      <c r="F337" s="18"/>
    </row>
    <row r="338" customFormat="false" ht="15" hidden="false" customHeight="false" outlineLevel="0" collapsed="false">
      <c r="A338" s="4"/>
      <c r="B338" s="18"/>
      <c r="C338" s="18"/>
      <c r="D338" s="26"/>
      <c r="E338" s="18"/>
      <c r="F338" s="18"/>
    </row>
    <row r="339" customFormat="false" ht="15" hidden="false" customHeight="false" outlineLevel="0" collapsed="false">
      <c r="A339" s="4"/>
      <c r="B339" s="18"/>
      <c r="C339" s="18"/>
      <c r="D339" s="26"/>
      <c r="E339" s="18"/>
      <c r="F339" s="18"/>
    </row>
    <row r="340" customFormat="false" ht="15" hidden="false" customHeight="false" outlineLevel="0" collapsed="false">
      <c r="A340" s="4"/>
      <c r="B340" s="18"/>
      <c r="C340" s="18"/>
      <c r="D340" s="26"/>
      <c r="E340" s="18"/>
      <c r="F340" s="18"/>
    </row>
    <row r="341" customFormat="false" ht="15" hidden="false" customHeight="false" outlineLevel="0" collapsed="false">
      <c r="A341" s="4"/>
      <c r="B341" s="18"/>
      <c r="C341" s="18"/>
      <c r="D341" s="26"/>
      <c r="E341" s="18"/>
      <c r="F341" s="18"/>
    </row>
    <row r="342" customFormat="false" ht="15" hidden="false" customHeight="false" outlineLevel="0" collapsed="false">
      <c r="A342" s="4"/>
      <c r="B342" s="18"/>
      <c r="C342" s="18"/>
      <c r="D342" s="26"/>
      <c r="E342" s="18"/>
      <c r="F342" s="18"/>
    </row>
    <row r="343" customFormat="false" ht="15" hidden="false" customHeight="false" outlineLevel="0" collapsed="false">
      <c r="A343" s="4"/>
      <c r="B343" s="18"/>
      <c r="C343" s="18"/>
      <c r="D343" s="26"/>
      <c r="E343" s="18"/>
      <c r="F343" s="18"/>
    </row>
    <row r="344" customFormat="false" ht="15" hidden="false" customHeight="false" outlineLevel="0" collapsed="false">
      <c r="A344" s="4"/>
      <c r="B344" s="18"/>
      <c r="C344" s="18"/>
      <c r="D344" s="26"/>
      <c r="E344" s="18"/>
      <c r="F344" s="18"/>
    </row>
    <row r="345" customFormat="false" ht="15" hidden="false" customHeight="false" outlineLevel="0" collapsed="false">
      <c r="A345" s="4"/>
      <c r="B345" s="18"/>
      <c r="C345" s="18"/>
      <c r="D345" s="26"/>
      <c r="E345" s="18"/>
      <c r="F345" s="18"/>
    </row>
    <row r="346" customFormat="false" ht="15" hidden="false" customHeight="false" outlineLevel="0" collapsed="false">
      <c r="A346" s="4"/>
      <c r="B346" s="18"/>
      <c r="C346" s="18"/>
      <c r="D346" s="26"/>
      <c r="E346" s="18"/>
      <c r="F346" s="18"/>
    </row>
    <row r="347" customFormat="false" ht="15" hidden="false" customHeight="false" outlineLevel="0" collapsed="false">
      <c r="A347" s="4"/>
      <c r="B347" s="18"/>
      <c r="C347" s="18"/>
      <c r="D347" s="26"/>
      <c r="E347" s="18"/>
      <c r="F347" s="18"/>
    </row>
    <row r="348" customFormat="false" ht="15" hidden="false" customHeight="false" outlineLevel="0" collapsed="false">
      <c r="A348" s="4"/>
      <c r="B348" s="18"/>
      <c r="C348" s="18"/>
      <c r="D348" s="26"/>
      <c r="E348" s="18"/>
      <c r="F348" s="18"/>
    </row>
    <row r="349" customFormat="false" ht="15" hidden="false" customHeight="false" outlineLevel="0" collapsed="false">
      <c r="A349" s="4"/>
      <c r="B349" s="18"/>
      <c r="C349" s="18"/>
      <c r="D349" s="26"/>
      <c r="E349" s="18"/>
      <c r="F349" s="18"/>
    </row>
    <row r="350" customFormat="false" ht="15" hidden="false" customHeight="false" outlineLevel="0" collapsed="false">
      <c r="A350" s="4"/>
      <c r="B350" s="18"/>
      <c r="C350" s="18"/>
      <c r="D350" s="26"/>
      <c r="E350" s="18"/>
      <c r="F350" s="18"/>
    </row>
    <row r="351" customFormat="false" ht="15" hidden="false" customHeight="false" outlineLevel="0" collapsed="false">
      <c r="A351" s="4"/>
      <c r="B351" s="18"/>
      <c r="C351" s="18"/>
      <c r="D351" s="26"/>
      <c r="E351" s="18"/>
      <c r="F351" s="18"/>
    </row>
    <row r="352" customFormat="false" ht="15" hidden="false" customHeight="false" outlineLevel="0" collapsed="false">
      <c r="A352" s="4"/>
      <c r="B352" s="18"/>
      <c r="C352" s="18"/>
      <c r="D352" s="26"/>
      <c r="E352" s="18"/>
      <c r="F352" s="18"/>
    </row>
    <row r="353" customFormat="false" ht="15" hidden="false" customHeight="false" outlineLevel="0" collapsed="false">
      <c r="A353" s="4"/>
      <c r="B353" s="18"/>
      <c r="C353" s="18"/>
      <c r="D353" s="26"/>
      <c r="E353" s="18"/>
      <c r="F353" s="18"/>
    </row>
    <row r="354" customFormat="false" ht="15" hidden="false" customHeight="false" outlineLevel="0" collapsed="false">
      <c r="A354" s="4"/>
      <c r="B354" s="18"/>
      <c r="C354" s="18"/>
      <c r="D354" s="26"/>
      <c r="E354" s="18"/>
      <c r="F354" s="18"/>
    </row>
    <row r="355" customFormat="false" ht="15" hidden="false" customHeight="false" outlineLevel="0" collapsed="false">
      <c r="A355" s="4"/>
      <c r="B355" s="18"/>
      <c r="C355" s="18"/>
      <c r="D355" s="26"/>
      <c r="E355" s="18"/>
      <c r="F355" s="18"/>
    </row>
    <row r="356" customFormat="false" ht="15" hidden="false" customHeight="false" outlineLevel="0" collapsed="false">
      <c r="A356" s="4"/>
      <c r="B356" s="18"/>
      <c r="C356" s="18"/>
      <c r="D356" s="26"/>
      <c r="E356" s="18"/>
      <c r="F356" s="18"/>
    </row>
    <row r="357" customFormat="false" ht="15" hidden="false" customHeight="false" outlineLevel="0" collapsed="false">
      <c r="A357" s="4"/>
      <c r="B357" s="18"/>
      <c r="C357" s="18"/>
      <c r="D357" s="26"/>
      <c r="E357" s="18"/>
      <c r="F357" s="18"/>
    </row>
    <row r="358" customFormat="false" ht="15" hidden="false" customHeight="false" outlineLevel="0" collapsed="false">
      <c r="A358" s="4"/>
      <c r="B358" s="18"/>
      <c r="C358" s="18"/>
      <c r="D358" s="26"/>
      <c r="E358" s="18"/>
      <c r="F358" s="18"/>
    </row>
    <row r="359" customFormat="false" ht="15" hidden="false" customHeight="false" outlineLevel="0" collapsed="false">
      <c r="A359" s="4"/>
      <c r="B359" s="18"/>
      <c r="C359" s="18"/>
      <c r="D359" s="26"/>
      <c r="E359" s="18"/>
      <c r="F359" s="18"/>
    </row>
    <row r="360" customFormat="false" ht="15" hidden="false" customHeight="false" outlineLevel="0" collapsed="false">
      <c r="A360" s="4"/>
      <c r="B360" s="18"/>
      <c r="C360" s="18"/>
      <c r="D360" s="26"/>
      <c r="E360" s="18"/>
      <c r="F360" s="18"/>
    </row>
    <row r="361" customFormat="false" ht="15" hidden="false" customHeight="false" outlineLevel="0" collapsed="false">
      <c r="A361" s="4"/>
      <c r="B361" s="18"/>
      <c r="C361" s="18"/>
      <c r="D361" s="26"/>
      <c r="E361" s="18"/>
      <c r="F361" s="18"/>
    </row>
    <row r="362" customFormat="false" ht="15" hidden="false" customHeight="false" outlineLevel="0" collapsed="false">
      <c r="A362" s="4"/>
      <c r="B362" s="18"/>
      <c r="C362" s="18"/>
      <c r="D362" s="26"/>
      <c r="E362" s="18"/>
      <c r="F362" s="18"/>
    </row>
    <row r="363" customFormat="false" ht="15" hidden="false" customHeight="false" outlineLevel="0" collapsed="false">
      <c r="A363" s="4"/>
      <c r="B363" s="18"/>
      <c r="C363" s="18"/>
      <c r="D363" s="26"/>
      <c r="E363" s="18"/>
      <c r="F363" s="18"/>
    </row>
    <row r="364" customFormat="false" ht="15" hidden="false" customHeight="false" outlineLevel="0" collapsed="false">
      <c r="A364" s="4"/>
      <c r="B364" s="18"/>
      <c r="C364" s="18"/>
      <c r="D364" s="26"/>
      <c r="E364" s="18"/>
      <c r="F364" s="18"/>
    </row>
    <row r="365" customFormat="false" ht="15" hidden="false" customHeight="false" outlineLevel="0" collapsed="false">
      <c r="A365" s="4"/>
      <c r="B365" s="18"/>
      <c r="C365" s="18"/>
      <c r="D365" s="26"/>
      <c r="E365" s="18"/>
      <c r="F365" s="18"/>
    </row>
    <row r="366" customFormat="false" ht="15" hidden="false" customHeight="false" outlineLevel="0" collapsed="false">
      <c r="A366" s="4"/>
      <c r="B366" s="18"/>
      <c r="C366" s="18"/>
      <c r="D366" s="26"/>
      <c r="E366" s="18"/>
      <c r="F366" s="18"/>
    </row>
    <row r="367" customFormat="false" ht="15" hidden="false" customHeight="false" outlineLevel="0" collapsed="false">
      <c r="A367" s="4"/>
      <c r="B367" s="18"/>
      <c r="C367" s="18"/>
      <c r="D367" s="26"/>
      <c r="E367" s="18"/>
      <c r="F367" s="18"/>
    </row>
    <row r="368" customFormat="false" ht="15" hidden="false" customHeight="false" outlineLevel="0" collapsed="false">
      <c r="A368" s="4"/>
      <c r="B368" s="18"/>
      <c r="C368" s="18"/>
      <c r="D368" s="26"/>
      <c r="E368" s="18"/>
      <c r="F368" s="18"/>
    </row>
    <row r="369" customFormat="false" ht="15" hidden="false" customHeight="false" outlineLevel="0" collapsed="false">
      <c r="A369" s="4"/>
      <c r="B369" s="18"/>
      <c r="C369" s="18"/>
      <c r="D369" s="26"/>
      <c r="E369" s="18"/>
      <c r="F369" s="18"/>
    </row>
    <row r="370" customFormat="false" ht="15" hidden="false" customHeight="false" outlineLevel="0" collapsed="false">
      <c r="A370" s="4"/>
      <c r="B370" s="18"/>
      <c r="C370" s="18"/>
      <c r="D370" s="26"/>
      <c r="E370" s="18"/>
      <c r="F370" s="18"/>
    </row>
    <row r="371" customFormat="false" ht="15" hidden="false" customHeight="false" outlineLevel="0" collapsed="false">
      <c r="A371" s="4"/>
      <c r="B371" s="18"/>
      <c r="C371" s="18"/>
      <c r="D371" s="26"/>
      <c r="E371" s="18"/>
      <c r="F371" s="18"/>
    </row>
    <row r="372" customFormat="false" ht="15" hidden="false" customHeight="false" outlineLevel="0" collapsed="false">
      <c r="A372" s="4"/>
      <c r="B372" s="18"/>
      <c r="C372" s="18"/>
      <c r="D372" s="26"/>
      <c r="E372" s="18"/>
      <c r="F372" s="18"/>
    </row>
    <row r="373" customFormat="false" ht="15" hidden="false" customHeight="false" outlineLevel="0" collapsed="false">
      <c r="A373" s="4"/>
      <c r="B373" s="18"/>
      <c r="C373" s="18"/>
      <c r="D373" s="26"/>
      <c r="E373" s="18"/>
      <c r="F373" s="18"/>
    </row>
    <row r="374" customFormat="false" ht="15" hidden="false" customHeight="false" outlineLevel="0" collapsed="false">
      <c r="A374" s="4"/>
      <c r="B374" s="18"/>
      <c r="C374" s="18"/>
      <c r="D374" s="26"/>
      <c r="E374" s="18"/>
      <c r="F374" s="18"/>
    </row>
    <row r="375" customFormat="false" ht="15" hidden="false" customHeight="false" outlineLevel="0" collapsed="false">
      <c r="A375" s="4"/>
      <c r="B375" s="18"/>
      <c r="C375" s="18"/>
      <c r="D375" s="26"/>
      <c r="E375" s="18"/>
      <c r="F375" s="18"/>
    </row>
    <row r="376" customFormat="false" ht="15" hidden="false" customHeight="false" outlineLevel="0" collapsed="false">
      <c r="A376" s="4"/>
      <c r="B376" s="18"/>
      <c r="C376" s="18"/>
      <c r="D376" s="26"/>
      <c r="E376" s="18"/>
      <c r="F376" s="18"/>
    </row>
    <row r="377" customFormat="false" ht="15" hidden="false" customHeight="false" outlineLevel="0" collapsed="false">
      <c r="A377" s="4"/>
      <c r="B377" s="18"/>
      <c r="C377" s="18"/>
      <c r="D377" s="26"/>
      <c r="E377" s="18"/>
      <c r="F377" s="18"/>
    </row>
    <row r="378" customFormat="false" ht="15" hidden="false" customHeight="false" outlineLevel="0" collapsed="false">
      <c r="A378" s="4"/>
      <c r="B378" s="18"/>
      <c r="C378" s="18"/>
      <c r="D378" s="26"/>
      <c r="E378" s="18"/>
      <c r="F378" s="18"/>
    </row>
    <row r="379" customFormat="false" ht="15" hidden="false" customHeight="false" outlineLevel="0" collapsed="false">
      <c r="A379" s="4"/>
      <c r="B379" s="18"/>
      <c r="C379" s="18"/>
      <c r="D379" s="26"/>
      <c r="E379" s="18"/>
      <c r="F379" s="18"/>
    </row>
    <row r="380" customFormat="false" ht="15" hidden="false" customHeight="false" outlineLevel="0" collapsed="false">
      <c r="A380" s="4"/>
      <c r="B380" s="18"/>
      <c r="C380" s="18"/>
      <c r="D380" s="26"/>
      <c r="E380" s="18"/>
      <c r="F380" s="18"/>
    </row>
    <row r="381" customFormat="false" ht="15" hidden="false" customHeight="false" outlineLevel="0" collapsed="false">
      <c r="A381" s="4"/>
      <c r="B381" s="18"/>
      <c r="C381" s="18"/>
      <c r="D381" s="26"/>
      <c r="E381" s="18"/>
      <c r="F381" s="18"/>
    </row>
    <row r="382" customFormat="false" ht="15" hidden="false" customHeight="false" outlineLevel="0" collapsed="false">
      <c r="A382" s="4"/>
      <c r="B382" s="18"/>
      <c r="C382" s="18"/>
      <c r="D382" s="26"/>
      <c r="E382" s="18"/>
      <c r="F382" s="18"/>
    </row>
    <row r="383" customFormat="false" ht="15" hidden="false" customHeight="false" outlineLevel="0" collapsed="false">
      <c r="A383" s="4"/>
      <c r="B383" s="18"/>
      <c r="C383" s="18"/>
      <c r="D383" s="26"/>
      <c r="E383" s="18"/>
      <c r="F383" s="18"/>
    </row>
    <row r="384" customFormat="false" ht="15" hidden="false" customHeight="false" outlineLevel="0" collapsed="false">
      <c r="A384" s="4"/>
      <c r="B384" s="18"/>
      <c r="C384" s="18"/>
      <c r="D384" s="26"/>
      <c r="E384" s="18"/>
      <c r="F384" s="18"/>
    </row>
    <row r="385" customFormat="false" ht="15" hidden="false" customHeight="false" outlineLevel="0" collapsed="false">
      <c r="A385" s="4"/>
      <c r="B385" s="18"/>
      <c r="C385" s="18"/>
      <c r="D385" s="26"/>
      <c r="E385" s="18"/>
      <c r="F385" s="18"/>
    </row>
    <row r="386" customFormat="false" ht="15" hidden="false" customHeight="false" outlineLevel="0" collapsed="false">
      <c r="A386" s="4"/>
      <c r="B386" s="18"/>
      <c r="C386" s="18"/>
      <c r="D386" s="26"/>
      <c r="E386" s="18"/>
      <c r="F386" s="18"/>
    </row>
    <row r="387" customFormat="false" ht="15" hidden="false" customHeight="false" outlineLevel="0" collapsed="false">
      <c r="A387" s="4"/>
      <c r="B387" s="18"/>
      <c r="C387" s="18"/>
      <c r="D387" s="26"/>
      <c r="E387" s="18"/>
      <c r="F387" s="18"/>
    </row>
    <row r="388" customFormat="false" ht="15" hidden="false" customHeight="false" outlineLevel="0" collapsed="false">
      <c r="A388" s="4"/>
      <c r="B388" s="18"/>
      <c r="C388" s="18"/>
      <c r="D388" s="26"/>
      <c r="E388" s="18"/>
      <c r="F388" s="18"/>
    </row>
    <row r="389" customFormat="false" ht="15" hidden="false" customHeight="false" outlineLevel="0" collapsed="false">
      <c r="A389" s="4"/>
      <c r="B389" s="18"/>
      <c r="C389" s="18"/>
      <c r="D389" s="26"/>
      <c r="E389" s="18"/>
      <c r="F389" s="18"/>
    </row>
    <row r="390" customFormat="false" ht="15" hidden="false" customHeight="false" outlineLevel="0" collapsed="false">
      <c r="A390" s="4"/>
      <c r="B390" s="18"/>
      <c r="C390" s="18"/>
      <c r="D390" s="26"/>
      <c r="E390" s="18"/>
      <c r="F390" s="18"/>
    </row>
    <row r="391" customFormat="false" ht="15" hidden="false" customHeight="false" outlineLevel="0" collapsed="false">
      <c r="A391" s="4"/>
      <c r="B391" s="18"/>
      <c r="C391" s="18"/>
      <c r="D391" s="26"/>
      <c r="E391" s="18"/>
      <c r="F391" s="18"/>
    </row>
    <row r="392" customFormat="false" ht="15" hidden="false" customHeight="false" outlineLevel="0" collapsed="false">
      <c r="A392" s="4"/>
      <c r="B392" s="18"/>
      <c r="C392" s="18"/>
      <c r="D392" s="26"/>
      <c r="E392" s="18"/>
      <c r="F392" s="18"/>
    </row>
    <row r="393" customFormat="false" ht="15" hidden="false" customHeight="false" outlineLevel="0" collapsed="false">
      <c r="A393" s="4"/>
      <c r="B393" s="18"/>
      <c r="C393" s="18"/>
      <c r="D393" s="26"/>
      <c r="E393" s="18"/>
      <c r="F393" s="18"/>
    </row>
    <row r="394" customFormat="false" ht="15" hidden="false" customHeight="false" outlineLevel="0" collapsed="false">
      <c r="A394" s="4"/>
      <c r="B394" s="18"/>
      <c r="C394" s="18"/>
      <c r="D394" s="26"/>
      <c r="E394" s="18"/>
      <c r="F394" s="18"/>
    </row>
    <row r="395" customFormat="false" ht="15" hidden="false" customHeight="false" outlineLevel="0" collapsed="false">
      <c r="A395" s="4"/>
      <c r="B395" s="18"/>
      <c r="C395" s="18"/>
      <c r="D395" s="26"/>
      <c r="E395" s="18"/>
      <c r="F395" s="18"/>
    </row>
    <row r="396" customFormat="false" ht="15" hidden="false" customHeight="false" outlineLevel="0" collapsed="false">
      <c r="A396" s="4"/>
      <c r="B396" s="18"/>
      <c r="C396" s="18"/>
      <c r="D396" s="26"/>
      <c r="E396" s="18"/>
      <c r="F396" s="18"/>
    </row>
    <row r="397" customFormat="false" ht="15" hidden="false" customHeight="false" outlineLevel="0" collapsed="false">
      <c r="A397" s="4"/>
      <c r="B397" s="18"/>
      <c r="C397" s="18"/>
      <c r="D397" s="26"/>
      <c r="E397" s="18"/>
      <c r="F397" s="18"/>
    </row>
    <row r="398" customFormat="false" ht="15" hidden="false" customHeight="false" outlineLevel="0" collapsed="false">
      <c r="A398" s="4"/>
      <c r="B398" s="18"/>
      <c r="C398" s="18"/>
      <c r="D398" s="26"/>
      <c r="E398" s="18"/>
      <c r="F398" s="18"/>
    </row>
    <row r="399" customFormat="false" ht="15" hidden="false" customHeight="false" outlineLevel="0" collapsed="false">
      <c r="A399" s="4"/>
      <c r="B399" s="18"/>
      <c r="C399" s="18"/>
      <c r="D399" s="26"/>
      <c r="E399" s="18"/>
      <c r="F399" s="18"/>
    </row>
    <row r="400" customFormat="false" ht="15" hidden="false" customHeight="false" outlineLevel="0" collapsed="false">
      <c r="A400" s="4"/>
      <c r="B400" s="18"/>
      <c r="C400" s="18"/>
      <c r="D400" s="26"/>
      <c r="E400" s="18"/>
      <c r="F400" s="18"/>
    </row>
    <row r="401" customFormat="false" ht="15" hidden="false" customHeight="false" outlineLevel="0" collapsed="false">
      <c r="A401" s="4"/>
      <c r="B401" s="18"/>
      <c r="C401" s="18"/>
      <c r="D401" s="26"/>
      <c r="E401" s="18"/>
      <c r="F401" s="18"/>
    </row>
    <row r="402" customFormat="false" ht="15" hidden="false" customHeight="false" outlineLevel="0" collapsed="false">
      <c r="A402" s="4"/>
      <c r="B402" s="18"/>
      <c r="C402" s="18"/>
      <c r="D402" s="26"/>
      <c r="E402" s="18"/>
      <c r="F402" s="18"/>
    </row>
    <row r="403" customFormat="false" ht="15" hidden="false" customHeight="false" outlineLevel="0" collapsed="false">
      <c r="A403" s="4"/>
      <c r="B403" s="18"/>
      <c r="C403" s="18"/>
      <c r="D403" s="26"/>
      <c r="E403" s="18"/>
      <c r="F403" s="18"/>
    </row>
    <row r="404" customFormat="false" ht="15" hidden="false" customHeight="false" outlineLevel="0" collapsed="false">
      <c r="A404" s="4"/>
      <c r="B404" s="18"/>
      <c r="C404" s="18"/>
      <c r="D404" s="26"/>
      <c r="E404" s="18"/>
      <c r="F404" s="18"/>
    </row>
    <row r="405" customFormat="false" ht="15" hidden="false" customHeight="false" outlineLevel="0" collapsed="false">
      <c r="A405" s="4"/>
      <c r="B405" s="18"/>
      <c r="C405" s="18"/>
      <c r="D405" s="26"/>
      <c r="E405" s="18"/>
      <c r="F405" s="18"/>
    </row>
    <row r="406" customFormat="false" ht="15" hidden="false" customHeight="false" outlineLevel="0" collapsed="false">
      <c r="A406" s="4"/>
      <c r="B406" s="18"/>
      <c r="C406" s="18"/>
      <c r="D406" s="26"/>
      <c r="E406" s="18"/>
      <c r="F406" s="18"/>
    </row>
    <row r="407" customFormat="false" ht="15" hidden="false" customHeight="false" outlineLevel="0" collapsed="false">
      <c r="A407" s="4"/>
      <c r="B407" s="18"/>
      <c r="C407" s="18"/>
      <c r="D407" s="26"/>
      <c r="E407" s="18"/>
      <c r="F407" s="18"/>
    </row>
    <row r="408" customFormat="false" ht="15" hidden="false" customHeight="false" outlineLevel="0" collapsed="false">
      <c r="A408" s="4"/>
      <c r="B408" s="18"/>
      <c r="C408" s="18"/>
      <c r="D408" s="26"/>
      <c r="E408" s="18"/>
      <c r="F408" s="18"/>
    </row>
    <row r="409" customFormat="false" ht="15" hidden="false" customHeight="false" outlineLevel="0" collapsed="false">
      <c r="A409" s="4"/>
      <c r="B409" s="18"/>
      <c r="C409" s="18"/>
      <c r="D409" s="26"/>
      <c r="E409" s="18"/>
      <c r="F409" s="18"/>
    </row>
    <row r="410" customFormat="false" ht="15" hidden="false" customHeight="false" outlineLevel="0" collapsed="false">
      <c r="A410" s="4"/>
      <c r="B410" s="18"/>
      <c r="C410" s="18"/>
      <c r="D410" s="26"/>
      <c r="E410" s="18"/>
      <c r="F410" s="18"/>
    </row>
    <row r="411" customFormat="false" ht="15" hidden="false" customHeight="false" outlineLevel="0" collapsed="false">
      <c r="A411" s="4"/>
      <c r="B411" s="18"/>
      <c r="C411" s="18"/>
      <c r="D411" s="26"/>
      <c r="E411" s="18"/>
      <c r="F411" s="18"/>
    </row>
    <row r="412" customFormat="false" ht="15" hidden="false" customHeight="false" outlineLevel="0" collapsed="false">
      <c r="A412" s="4"/>
      <c r="B412" s="18"/>
      <c r="C412" s="18"/>
      <c r="D412" s="26"/>
      <c r="E412" s="18"/>
      <c r="F412" s="18"/>
    </row>
    <row r="413" customFormat="false" ht="15" hidden="false" customHeight="false" outlineLevel="0" collapsed="false">
      <c r="A413" s="4"/>
      <c r="B413" s="18"/>
      <c r="C413" s="18"/>
      <c r="D413" s="26"/>
      <c r="E413" s="18"/>
      <c r="F413" s="18"/>
    </row>
    <row r="414" customFormat="false" ht="15" hidden="false" customHeight="false" outlineLevel="0" collapsed="false">
      <c r="A414" s="4"/>
      <c r="B414" s="18"/>
      <c r="C414" s="18"/>
      <c r="D414" s="26"/>
      <c r="E414" s="18"/>
      <c r="F414" s="18"/>
    </row>
    <row r="415" customFormat="false" ht="15" hidden="false" customHeight="false" outlineLevel="0" collapsed="false">
      <c r="A415" s="4"/>
      <c r="B415" s="18"/>
      <c r="C415" s="18"/>
      <c r="D415" s="26"/>
      <c r="E415" s="18"/>
      <c r="F415" s="18"/>
    </row>
    <row r="416" customFormat="false" ht="15" hidden="false" customHeight="false" outlineLevel="0" collapsed="false">
      <c r="A416" s="4"/>
      <c r="B416" s="18"/>
      <c r="C416" s="18"/>
      <c r="D416" s="26"/>
      <c r="E416" s="18"/>
      <c r="F416" s="18"/>
    </row>
    <row r="417" customFormat="false" ht="15" hidden="false" customHeight="false" outlineLevel="0" collapsed="false">
      <c r="A417" s="4"/>
      <c r="B417" s="18"/>
      <c r="C417" s="18"/>
      <c r="D417" s="26"/>
      <c r="E417" s="18"/>
      <c r="F417" s="18"/>
    </row>
    <row r="418" customFormat="false" ht="15" hidden="false" customHeight="false" outlineLevel="0" collapsed="false">
      <c r="A418" s="4"/>
      <c r="B418" s="18"/>
      <c r="C418" s="18"/>
      <c r="D418" s="26"/>
      <c r="E418" s="18"/>
      <c r="F418" s="18"/>
    </row>
    <row r="419" customFormat="false" ht="15" hidden="false" customHeight="false" outlineLevel="0" collapsed="false">
      <c r="A419" s="4"/>
      <c r="B419" s="18"/>
      <c r="C419" s="18"/>
      <c r="D419" s="26"/>
      <c r="E419" s="18"/>
      <c r="F419" s="18"/>
    </row>
    <row r="420" customFormat="false" ht="15" hidden="false" customHeight="false" outlineLevel="0" collapsed="false">
      <c r="A420" s="4"/>
      <c r="B420" s="18"/>
      <c r="C420" s="18"/>
      <c r="D420" s="26"/>
      <c r="E420" s="18"/>
      <c r="F420" s="18"/>
    </row>
    <row r="421" customFormat="false" ht="15" hidden="false" customHeight="false" outlineLevel="0" collapsed="false">
      <c r="A421" s="4"/>
      <c r="B421" s="18"/>
      <c r="C421" s="18"/>
      <c r="D421" s="26"/>
      <c r="E421" s="18"/>
      <c r="F421" s="18"/>
    </row>
    <row r="422" customFormat="false" ht="15" hidden="false" customHeight="false" outlineLevel="0" collapsed="false">
      <c r="A422" s="4"/>
      <c r="B422" s="18"/>
      <c r="C422" s="18"/>
      <c r="D422" s="26"/>
      <c r="E422" s="18"/>
      <c r="F422" s="18"/>
    </row>
    <row r="423" customFormat="false" ht="15" hidden="false" customHeight="false" outlineLevel="0" collapsed="false">
      <c r="A423" s="4"/>
      <c r="B423" s="18"/>
      <c r="C423" s="18"/>
      <c r="D423" s="26"/>
      <c r="E423" s="18"/>
      <c r="F423" s="18"/>
    </row>
    <row r="424" customFormat="false" ht="15" hidden="false" customHeight="false" outlineLevel="0" collapsed="false">
      <c r="A424" s="4"/>
      <c r="B424" s="18"/>
      <c r="C424" s="18"/>
      <c r="D424" s="26"/>
      <c r="E424" s="18"/>
      <c r="F424" s="18"/>
    </row>
    <row r="425" customFormat="false" ht="15" hidden="false" customHeight="false" outlineLevel="0" collapsed="false">
      <c r="A425" s="4"/>
      <c r="B425" s="18"/>
      <c r="C425" s="18"/>
      <c r="D425" s="26"/>
      <c r="E425" s="18"/>
      <c r="F425" s="18"/>
    </row>
    <row r="426" customFormat="false" ht="15" hidden="false" customHeight="false" outlineLevel="0" collapsed="false">
      <c r="A426" s="4"/>
      <c r="B426" s="18"/>
      <c r="C426" s="18"/>
      <c r="D426" s="26"/>
      <c r="E426" s="18"/>
      <c r="F426" s="18"/>
    </row>
    <row r="427" customFormat="false" ht="15" hidden="false" customHeight="false" outlineLevel="0" collapsed="false">
      <c r="A427" s="4"/>
      <c r="B427" s="18"/>
      <c r="C427" s="18"/>
      <c r="D427" s="26"/>
      <c r="E427" s="18"/>
      <c r="F427" s="18"/>
    </row>
    <row r="428" customFormat="false" ht="15" hidden="false" customHeight="false" outlineLevel="0" collapsed="false">
      <c r="A428" s="4"/>
      <c r="B428" s="18"/>
      <c r="C428" s="18"/>
      <c r="D428" s="26"/>
      <c r="E428" s="18"/>
      <c r="F428" s="18"/>
    </row>
    <row r="429" customFormat="false" ht="15" hidden="false" customHeight="false" outlineLevel="0" collapsed="false">
      <c r="A429" s="4"/>
      <c r="B429" s="18"/>
      <c r="C429" s="18"/>
      <c r="D429" s="26"/>
      <c r="E429" s="18"/>
      <c r="F429" s="18"/>
    </row>
    <row r="430" customFormat="false" ht="15" hidden="false" customHeight="false" outlineLevel="0" collapsed="false">
      <c r="A430" s="4"/>
      <c r="B430" s="18"/>
      <c r="C430" s="18"/>
      <c r="D430" s="26"/>
      <c r="E430" s="18"/>
      <c r="F430" s="18"/>
    </row>
    <row r="431" customFormat="false" ht="15" hidden="false" customHeight="false" outlineLevel="0" collapsed="false">
      <c r="A431" s="4"/>
      <c r="B431" s="18"/>
      <c r="C431" s="18"/>
      <c r="D431" s="26"/>
      <c r="E431" s="18"/>
      <c r="F431" s="18"/>
    </row>
    <row r="432" customFormat="false" ht="15" hidden="false" customHeight="false" outlineLevel="0" collapsed="false">
      <c r="A432" s="4"/>
      <c r="B432" s="18"/>
      <c r="C432" s="18"/>
      <c r="D432" s="26"/>
      <c r="E432" s="18"/>
      <c r="F432" s="18"/>
    </row>
    <row r="433" customFormat="false" ht="15" hidden="false" customHeight="false" outlineLevel="0" collapsed="false">
      <c r="A433" s="4"/>
      <c r="B433" s="18"/>
      <c r="C433" s="18"/>
      <c r="D433" s="26"/>
      <c r="E433" s="18"/>
      <c r="F433" s="18"/>
    </row>
    <row r="434" customFormat="false" ht="15" hidden="false" customHeight="false" outlineLevel="0" collapsed="false">
      <c r="A434" s="4"/>
      <c r="B434" s="18"/>
      <c r="C434" s="18"/>
      <c r="D434" s="26"/>
      <c r="E434" s="18"/>
      <c r="F434" s="18"/>
    </row>
    <row r="435" customFormat="false" ht="15" hidden="false" customHeight="false" outlineLevel="0" collapsed="false">
      <c r="A435" s="4"/>
      <c r="B435" s="18"/>
      <c r="C435" s="18"/>
      <c r="D435" s="26"/>
      <c r="E435" s="18"/>
      <c r="F435" s="18"/>
    </row>
    <row r="436" customFormat="false" ht="15" hidden="false" customHeight="false" outlineLevel="0" collapsed="false">
      <c r="A436" s="4"/>
      <c r="B436" s="18"/>
      <c r="C436" s="18"/>
      <c r="D436" s="26"/>
      <c r="E436" s="18"/>
      <c r="F436" s="18"/>
    </row>
    <row r="437" customFormat="false" ht="15" hidden="false" customHeight="false" outlineLevel="0" collapsed="false">
      <c r="A437" s="4"/>
      <c r="B437" s="18"/>
      <c r="C437" s="18"/>
      <c r="D437" s="26"/>
      <c r="E437" s="18"/>
      <c r="F437" s="18"/>
    </row>
    <row r="438" customFormat="false" ht="15" hidden="false" customHeight="false" outlineLevel="0" collapsed="false">
      <c r="A438" s="4"/>
      <c r="B438" s="18"/>
      <c r="C438" s="18"/>
      <c r="D438" s="26"/>
      <c r="E438" s="18"/>
      <c r="F438" s="18"/>
    </row>
    <row r="439" customFormat="false" ht="15" hidden="false" customHeight="false" outlineLevel="0" collapsed="false">
      <c r="A439" s="4"/>
      <c r="B439" s="18"/>
      <c r="C439" s="18"/>
      <c r="D439" s="26"/>
      <c r="E439" s="18"/>
      <c r="F439" s="18"/>
    </row>
    <row r="440" customFormat="false" ht="15" hidden="false" customHeight="false" outlineLevel="0" collapsed="false">
      <c r="A440" s="4"/>
      <c r="B440" s="18"/>
      <c r="C440" s="18"/>
      <c r="D440" s="26"/>
      <c r="E440" s="18"/>
      <c r="F440" s="18"/>
    </row>
    <row r="441" customFormat="false" ht="15" hidden="false" customHeight="false" outlineLevel="0" collapsed="false">
      <c r="A441" s="4"/>
      <c r="B441" s="18"/>
      <c r="C441" s="18"/>
      <c r="D441" s="26"/>
      <c r="E441" s="18"/>
      <c r="F441" s="18"/>
    </row>
    <row r="442" customFormat="false" ht="15" hidden="false" customHeight="false" outlineLevel="0" collapsed="false">
      <c r="A442" s="4"/>
      <c r="B442" s="18"/>
      <c r="C442" s="18"/>
      <c r="D442" s="26"/>
      <c r="E442" s="18"/>
      <c r="F442" s="18"/>
    </row>
    <row r="443" customFormat="false" ht="15" hidden="false" customHeight="false" outlineLevel="0" collapsed="false">
      <c r="A443" s="4"/>
      <c r="B443" s="18"/>
      <c r="C443" s="18"/>
      <c r="D443" s="26"/>
      <c r="E443" s="18"/>
      <c r="F443" s="18"/>
    </row>
    <row r="444" customFormat="false" ht="15" hidden="false" customHeight="false" outlineLevel="0" collapsed="false">
      <c r="A444" s="4"/>
      <c r="B444" s="18"/>
      <c r="C444" s="18"/>
      <c r="D444" s="26"/>
      <c r="E444" s="18"/>
      <c r="F444" s="18"/>
    </row>
    <row r="445" customFormat="false" ht="15" hidden="false" customHeight="false" outlineLevel="0" collapsed="false">
      <c r="A445" s="4"/>
      <c r="B445" s="18"/>
      <c r="C445" s="18"/>
      <c r="D445" s="26"/>
      <c r="E445" s="18"/>
      <c r="F445" s="18"/>
    </row>
    <row r="446" customFormat="false" ht="15" hidden="false" customHeight="false" outlineLevel="0" collapsed="false">
      <c r="A446" s="4"/>
      <c r="B446" s="18"/>
      <c r="C446" s="18"/>
      <c r="D446" s="26"/>
      <c r="E446" s="18"/>
      <c r="F446" s="18"/>
    </row>
    <row r="447" customFormat="false" ht="15" hidden="false" customHeight="false" outlineLevel="0" collapsed="false">
      <c r="A447" s="4"/>
      <c r="B447" s="18"/>
      <c r="C447" s="18"/>
      <c r="D447" s="26"/>
      <c r="E447" s="18"/>
      <c r="F447" s="18"/>
    </row>
    <row r="448" customFormat="false" ht="15" hidden="false" customHeight="false" outlineLevel="0" collapsed="false">
      <c r="A448" s="4"/>
      <c r="B448" s="18"/>
      <c r="C448" s="18"/>
      <c r="D448" s="26"/>
      <c r="E448" s="18"/>
      <c r="F448" s="18"/>
    </row>
    <row r="449" customFormat="false" ht="15" hidden="false" customHeight="false" outlineLevel="0" collapsed="false">
      <c r="A449" s="4"/>
      <c r="B449" s="18"/>
      <c r="C449" s="18"/>
      <c r="D449" s="26"/>
      <c r="E449" s="18"/>
      <c r="F449" s="18"/>
    </row>
    <row r="450" customFormat="false" ht="15" hidden="false" customHeight="false" outlineLevel="0" collapsed="false">
      <c r="A450" s="4"/>
      <c r="B450" s="18"/>
      <c r="C450" s="18"/>
      <c r="D450" s="26"/>
      <c r="E450" s="18"/>
      <c r="F450" s="18"/>
    </row>
    <row r="451" customFormat="false" ht="15" hidden="false" customHeight="false" outlineLevel="0" collapsed="false">
      <c r="A451" s="4"/>
      <c r="B451" s="18"/>
      <c r="C451" s="18"/>
      <c r="D451" s="26"/>
      <c r="E451" s="18"/>
      <c r="F451" s="18"/>
    </row>
    <row r="452" customFormat="false" ht="15" hidden="false" customHeight="false" outlineLevel="0" collapsed="false">
      <c r="A452" s="4"/>
      <c r="B452" s="18"/>
      <c r="C452" s="18"/>
      <c r="D452" s="26"/>
      <c r="E452" s="18"/>
      <c r="F452" s="18"/>
    </row>
    <row r="453" customFormat="false" ht="15" hidden="false" customHeight="false" outlineLevel="0" collapsed="false">
      <c r="A453" s="4"/>
      <c r="B453" s="18"/>
      <c r="C453" s="18"/>
      <c r="D453" s="26"/>
      <c r="E453" s="18"/>
      <c r="F453" s="18"/>
    </row>
    <row r="454" customFormat="false" ht="15" hidden="false" customHeight="false" outlineLevel="0" collapsed="false">
      <c r="A454" s="4"/>
      <c r="B454" s="18"/>
      <c r="C454" s="18"/>
      <c r="D454" s="26"/>
      <c r="E454" s="18"/>
      <c r="F454" s="18"/>
    </row>
    <row r="455" customFormat="false" ht="15" hidden="false" customHeight="false" outlineLevel="0" collapsed="false">
      <c r="A455" s="4"/>
      <c r="B455" s="18"/>
      <c r="C455" s="18"/>
      <c r="D455" s="26"/>
      <c r="E455" s="18"/>
      <c r="F455" s="18"/>
    </row>
    <row r="456" customFormat="false" ht="15" hidden="false" customHeight="false" outlineLevel="0" collapsed="false">
      <c r="A456" s="4"/>
      <c r="B456" s="18"/>
      <c r="C456" s="18"/>
      <c r="D456" s="26"/>
      <c r="E456" s="18"/>
      <c r="F456" s="18"/>
    </row>
    <row r="457" customFormat="false" ht="15" hidden="false" customHeight="false" outlineLevel="0" collapsed="false">
      <c r="A457" s="4"/>
      <c r="B457" s="18"/>
      <c r="C457" s="18"/>
      <c r="D457" s="26"/>
      <c r="E457" s="18"/>
      <c r="F457" s="18"/>
    </row>
    <row r="458" customFormat="false" ht="15" hidden="false" customHeight="false" outlineLevel="0" collapsed="false">
      <c r="A458" s="4"/>
      <c r="B458" s="18"/>
      <c r="C458" s="18"/>
      <c r="D458" s="26"/>
      <c r="E458" s="18"/>
      <c r="F458" s="18"/>
    </row>
    <row r="459" customFormat="false" ht="15" hidden="false" customHeight="false" outlineLevel="0" collapsed="false">
      <c r="A459" s="4"/>
      <c r="B459" s="18"/>
      <c r="C459" s="18"/>
      <c r="D459" s="26"/>
      <c r="E459" s="18"/>
      <c r="F459" s="18"/>
    </row>
    <row r="460" customFormat="false" ht="15" hidden="false" customHeight="false" outlineLevel="0" collapsed="false">
      <c r="A460" s="4"/>
      <c r="B460" s="18"/>
      <c r="C460" s="18"/>
      <c r="D460" s="26"/>
      <c r="E460" s="18"/>
      <c r="F460" s="18"/>
    </row>
    <row r="461" customFormat="false" ht="15" hidden="false" customHeight="false" outlineLevel="0" collapsed="false">
      <c r="A461" s="4"/>
      <c r="B461" s="18"/>
      <c r="C461" s="18"/>
      <c r="D461" s="26"/>
      <c r="E461" s="18"/>
      <c r="F461" s="18"/>
    </row>
    <row r="462" customFormat="false" ht="15" hidden="false" customHeight="false" outlineLevel="0" collapsed="false">
      <c r="A462" s="4"/>
      <c r="B462" s="18"/>
      <c r="C462" s="18"/>
      <c r="D462" s="26"/>
      <c r="E462" s="18"/>
      <c r="F462" s="18"/>
    </row>
    <row r="463" customFormat="false" ht="15" hidden="false" customHeight="false" outlineLevel="0" collapsed="false">
      <c r="A463" s="4"/>
      <c r="B463" s="18"/>
      <c r="C463" s="18"/>
      <c r="D463" s="26"/>
      <c r="E463" s="18"/>
      <c r="F463" s="18"/>
    </row>
    <row r="464" customFormat="false" ht="15" hidden="false" customHeight="false" outlineLevel="0" collapsed="false">
      <c r="A464" s="4"/>
      <c r="B464" s="18"/>
      <c r="C464" s="18"/>
      <c r="D464" s="26"/>
      <c r="E464" s="18"/>
      <c r="F464" s="18"/>
    </row>
    <row r="465" customFormat="false" ht="15" hidden="false" customHeight="false" outlineLevel="0" collapsed="false">
      <c r="A465" s="4"/>
      <c r="B465" s="18"/>
      <c r="C465" s="18"/>
      <c r="D465" s="26"/>
      <c r="E465" s="18"/>
      <c r="F465" s="18"/>
    </row>
    <row r="466" customFormat="false" ht="15" hidden="false" customHeight="false" outlineLevel="0" collapsed="false">
      <c r="A466" s="4"/>
      <c r="B466" s="18"/>
      <c r="C466" s="18"/>
      <c r="D466" s="26"/>
      <c r="E466" s="18"/>
      <c r="F466" s="18"/>
    </row>
    <row r="467" customFormat="false" ht="15" hidden="false" customHeight="false" outlineLevel="0" collapsed="false">
      <c r="A467" s="4"/>
      <c r="B467" s="18"/>
      <c r="C467" s="18"/>
      <c r="D467" s="26"/>
      <c r="E467" s="18"/>
      <c r="F467" s="18"/>
    </row>
    <row r="468" customFormat="false" ht="15" hidden="false" customHeight="false" outlineLevel="0" collapsed="false">
      <c r="A468" s="4"/>
      <c r="B468" s="18"/>
      <c r="C468" s="18"/>
      <c r="D468" s="26"/>
      <c r="E468" s="18"/>
      <c r="F468" s="18"/>
    </row>
    <row r="469" customFormat="false" ht="15" hidden="false" customHeight="false" outlineLevel="0" collapsed="false">
      <c r="A469" s="4"/>
      <c r="B469" s="18"/>
      <c r="C469" s="18"/>
      <c r="D469" s="26"/>
      <c r="E469" s="18"/>
      <c r="F469" s="18"/>
    </row>
    <row r="470" customFormat="false" ht="15" hidden="false" customHeight="false" outlineLevel="0" collapsed="false">
      <c r="A470" s="4"/>
      <c r="B470" s="18"/>
      <c r="C470" s="18"/>
      <c r="D470" s="26"/>
      <c r="E470" s="18"/>
      <c r="F470" s="18"/>
    </row>
    <row r="471" customFormat="false" ht="15" hidden="false" customHeight="false" outlineLevel="0" collapsed="false">
      <c r="A471" s="4"/>
      <c r="B471" s="18"/>
      <c r="C471" s="18"/>
      <c r="D471" s="26"/>
      <c r="E471" s="18"/>
      <c r="F471" s="18"/>
    </row>
    <row r="472" customFormat="false" ht="15" hidden="false" customHeight="false" outlineLevel="0" collapsed="false">
      <c r="A472" s="4"/>
      <c r="B472" s="18"/>
      <c r="C472" s="18"/>
      <c r="D472" s="26"/>
      <c r="E472" s="18"/>
      <c r="F472" s="18"/>
    </row>
    <row r="473" customFormat="false" ht="15" hidden="false" customHeight="false" outlineLevel="0" collapsed="false">
      <c r="A473" s="4"/>
      <c r="B473" s="18"/>
      <c r="C473" s="18"/>
      <c r="D473" s="26"/>
      <c r="E473" s="18"/>
      <c r="F473" s="18"/>
    </row>
    <row r="474" customFormat="false" ht="15" hidden="false" customHeight="false" outlineLevel="0" collapsed="false">
      <c r="A474" s="4"/>
      <c r="B474" s="18"/>
      <c r="C474" s="18"/>
      <c r="D474" s="26"/>
      <c r="E474" s="18"/>
      <c r="F474" s="18"/>
    </row>
    <row r="475" customFormat="false" ht="15" hidden="false" customHeight="false" outlineLevel="0" collapsed="false">
      <c r="A475" s="4"/>
      <c r="B475" s="18"/>
      <c r="C475" s="18"/>
      <c r="D475" s="26"/>
      <c r="E475" s="18"/>
      <c r="F475" s="18"/>
    </row>
    <row r="476" customFormat="false" ht="15" hidden="false" customHeight="false" outlineLevel="0" collapsed="false">
      <c r="A476" s="4"/>
      <c r="B476" s="18"/>
      <c r="C476" s="18"/>
      <c r="D476" s="26"/>
      <c r="E476" s="18"/>
      <c r="F476" s="18"/>
    </row>
    <row r="477" customFormat="false" ht="15" hidden="false" customHeight="false" outlineLevel="0" collapsed="false">
      <c r="A477" s="4"/>
      <c r="B477" s="18"/>
      <c r="C477" s="18"/>
      <c r="D477" s="26"/>
      <c r="E477" s="18"/>
      <c r="F477" s="18"/>
    </row>
    <row r="478" customFormat="false" ht="15" hidden="false" customHeight="false" outlineLevel="0" collapsed="false">
      <c r="A478" s="4"/>
      <c r="B478" s="18"/>
      <c r="C478" s="18"/>
      <c r="D478" s="26"/>
      <c r="E478" s="18"/>
      <c r="F478" s="18"/>
    </row>
    <row r="479" customFormat="false" ht="15" hidden="false" customHeight="false" outlineLevel="0" collapsed="false">
      <c r="A479" s="4"/>
      <c r="B479" s="18"/>
      <c r="C479" s="18"/>
      <c r="D479" s="26"/>
      <c r="E479" s="18"/>
      <c r="F479" s="18"/>
    </row>
    <row r="480" customFormat="false" ht="15" hidden="false" customHeight="false" outlineLevel="0" collapsed="false">
      <c r="A480" s="4"/>
      <c r="B480" s="18"/>
      <c r="C480" s="18"/>
      <c r="D480" s="26"/>
      <c r="E480" s="18"/>
      <c r="F480" s="18"/>
    </row>
    <row r="481" customFormat="false" ht="15" hidden="false" customHeight="false" outlineLevel="0" collapsed="false">
      <c r="A481" s="4"/>
      <c r="B481" s="18"/>
      <c r="C481" s="18"/>
      <c r="D481" s="26"/>
      <c r="E481" s="18"/>
      <c r="F481" s="18"/>
    </row>
    <row r="482" customFormat="false" ht="15" hidden="false" customHeight="false" outlineLevel="0" collapsed="false">
      <c r="A482" s="4"/>
      <c r="B482" s="18"/>
      <c r="C482" s="18"/>
      <c r="D482" s="26"/>
      <c r="E482" s="18"/>
      <c r="F482" s="18"/>
    </row>
    <row r="483" customFormat="false" ht="15" hidden="false" customHeight="false" outlineLevel="0" collapsed="false">
      <c r="A483" s="4"/>
      <c r="B483" s="18"/>
      <c r="C483" s="18"/>
      <c r="D483" s="26"/>
      <c r="E483" s="18"/>
      <c r="F483" s="18"/>
    </row>
    <row r="484" customFormat="false" ht="15" hidden="false" customHeight="false" outlineLevel="0" collapsed="false">
      <c r="A484" s="4"/>
      <c r="B484" s="18"/>
      <c r="C484" s="18"/>
      <c r="D484" s="26"/>
      <c r="E484" s="18"/>
      <c r="F484" s="18"/>
    </row>
    <row r="485" customFormat="false" ht="15" hidden="false" customHeight="false" outlineLevel="0" collapsed="false">
      <c r="A485" s="4"/>
      <c r="B485" s="18"/>
      <c r="C485" s="18"/>
      <c r="D485" s="26"/>
      <c r="E485" s="18"/>
      <c r="F485" s="18"/>
    </row>
    <row r="486" customFormat="false" ht="15" hidden="false" customHeight="false" outlineLevel="0" collapsed="false">
      <c r="A486" s="4"/>
      <c r="B486" s="18"/>
      <c r="C486" s="18"/>
      <c r="D486" s="26"/>
      <c r="E486" s="18"/>
      <c r="F486" s="18"/>
    </row>
    <row r="487" customFormat="false" ht="15" hidden="false" customHeight="false" outlineLevel="0" collapsed="false">
      <c r="A487" s="4"/>
      <c r="B487" s="18"/>
      <c r="C487" s="18"/>
      <c r="D487" s="26"/>
      <c r="E487" s="18"/>
      <c r="F487" s="18"/>
    </row>
    <row r="488" customFormat="false" ht="15" hidden="false" customHeight="false" outlineLevel="0" collapsed="false">
      <c r="A488" s="4"/>
      <c r="B488" s="18"/>
      <c r="C488" s="18"/>
      <c r="D488" s="26"/>
      <c r="E488" s="18"/>
      <c r="F488" s="18"/>
    </row>
    <row r="489" customFormat="false" ht="15" hidden="false" customHeight="false" outlineLevel="0" collapsed="false">
      <c r="A489" s="4"/>
      <c r="B489" s="18"/>
      <c r="C489" s="18"/>
      <c r="D489" s="26"/>
      <c r="E489" s="18"/>
      <c r="F489" s="18"/>
    </row>
    <row r="490" customFormat="false" ht="15" hidden="false" customHeight="false" outlineLevel="0" collapsed="false">
      <c r="A490" s="4"/>
      <c r="B490" s="18"/>
      <c r="C490" s="18"/>
      <c r="D490" s="26"/>
      <c r="E490" s="18"/>
      <c r="F490" s="18"/>
    </row>
    <row r="491" customFormat="false" ht="15" hidden="false" customHeight="false" outlineLevel="0" collapsed="false">
      <c r="A491" s="4"/>
      <c r="B491" s="18"/>
      <c r="C491" s="18"/>
      <c r="D491" s="26"/>
      <c r="E491" s="18"/>
      <c r="F491" s="18"/>
    </row>
    <row r="492" customFormat="false" ht="15" hidden="false" customHeight="false" outlineLevel="0" collapsed="false">
      <c r="A492" s="4"/>
      <c r="B492" s="18"/>
      <c r="C492" s="18"/>
      <c r="D492" s="26"/>
      <c r="E492" s="18"/>
      <c r="F492" s="18"/>
    </row>
    <row r="493" customFormat="false" ht="15" hidden="false" customHeight="false" outlineLevel="0" collapsed="false">
      <c r="A493" s="4"/>
      <c r="B493" s="18"/>
      <c r="C493" s="18"/>
      <c r="D493" s="26"/>
      <c r="E493" s="18"/>
      <c r="F493" s="18"/>
    </row>
    <row r="494" customFormat="false" ht="15" hidden="false" customHeight="false" outlineLevel="0" collapsed="false">
      <c r="A494" s="4"/>
      <c r="B494" s="18"/>
      <c r="C494" s="18"/>
      <c r="D494" s="26"/>
      <c r="E494" s="18"/>
      <c r="F494" s="18"/>
    </row>
    <row r="495" customFormat="false" ht="15" hidden="false" customHeight="false" outlineLevel="0" collapsed="false">
      <c r="A495" s="4"/>
      <c r="B495" s="18"/>
      <c r="C495" s="18"/>
      <c r="D495" s="26"/>
      <c r="E495" s="18"/>
      <c r="F495" s="18"/>
    </row>
    <row r="496" customFormat="false" ht="15" hidden="false" customHeight="false" outlineLevel="0" collapsed="false">
      <c r="A496" s="4"/>
      <c r="B496" s="18"/>
      <c r="C496" s="18"/>
      <c r="D496" s="26"/>
      <c r="E496" s="18"/>
      <c r="F496" s="18"/>
    </row>
    <row r="497" customFormat="false" ht="15" hidden="false" customHeight="false" outlineLevel="0" collapsed="false">
      <c r="A497" s="4"/>
      <c r="B497" s="18"/>
      <c r="C497" s="18"/>
      <c r="D497" s="26"/>
      <c r="E497" s="18"/>
      <c r="F497" s="18"/>
    </row>
    <row r="498" customFormat="false" ht="15" hidden="false" customHeight="false" outlineLevel="0" collapsed="false">
      <c r="A498" s="4"/>
      <c r="B498" s="18"/>
      <c r="C498" s="18"/>
      <c r="D498" s="26"/>
      <c r="E498" s="18"/>
      <c r="F498" s="18"/>
    </row>
    <row r="499" customFormat="false" ht="15" hidden="false" customHeight="false" outlineLevel="0" collapsed="false">
      <c r="A499" s="4"/>
      <c r="B499" s="18"/>
      <c r="C499" s="18"/>
      <c r="D499" s="26"/>
      <c r="E499" s="18"/>
      <c r="F499" s="18"/>
    </row>
    <row r="500" customFormat="false" ht="15" hidden="false" customHeight="false" outlineLevel="0" collapsed="false">
      <c r="A500" s="4"/>
      <c r="B500" s="18"/>
      <c r="C500" s="18"/>
      <c r="D500" s="26"/>
      <c r="E500" s="18"/>
      <c r="F500" s="18"/>
    </row>
  </sheetData>
  <dataValidations count="2">
    <dataValidation allowBlank="true" errorStyle="stop" operator="between" showDropDown="false" showErrorMessage="false" showInputMessage="false" sqref="B6:B500" type="list">
      <formula1>"QBank,Vignettes,Mini-test,Mock"</formula1>
      <formula2>0</formula2>
    </dataValidation>
    <dataValidation allowBlank="true" errorStyle="stop" operator="between" showDropDown="false" showErrorMessage="false" showInputMessage="false" sqref="C6:C500" type="list">
      <formula1>"Ética,Quant,Economía,FSA,Corporate Issuers,Equity,Renta Fija,Derivados,Alternativos,Portafolio,Mixto"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4" min="3" style="0" width="28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23.85" hidden="false" customHeight="false" outlineLevel="0" collapsed="false">
      <c r="A4" s="15" t="s">
        <v>40</v>
      </c>
      <c r="B4" s="15" t="s">
        <v>63</v>
      </c>
      <c r="C4" s="15" t="s">
        <v>164</v>
      </c>
      <c r="D4" s="15" t="s">
        <v>165</v>
      </c>
      <c r="E4" s="15" t="s">
        <v>166</v>
      </c>
      <c r="F4" s="15" t="s">
        <v>167</v>
      </c>
      <c r="G4" s="15" t="s">
        <v>168</v>
      </c>
      <c r="H4" s="15" t="s">
        <v>169</v>
      </c>
      <c r="I4" s="15" t="s">
        <v>170</v>
      </c>
      <c r="J4" s="15" t="s">
        <v>169</v>
      </c>
      <c r="K4" s="15" t="s">
        <v>27</v>
      </c>
    </row>
    <row r="5" customFormat="false" ht="23.85" hidden="false" customHeight="false" outlineLevel="0" collapsed="false">
      <c r="A5" s="30" t="n">
        <v>46338</v>
      </c>
      <c r="B5" s="31" t="s">
        <v>74</v>
      </c>
      <c r="C5" s="31" t="s">
        <v>171</v>
      </c>
      <c r="D5" s="31" t="s">
        <v>172</v>
      </c>
      <c r="E5" s="31" t="s">
        <v>173</v>
      </c>
      <c r="F5" s="31" t="s">
        <v>174</v>
      </c>
      <c r="G5" s="5" t="n">
        <f aca="false">IF(A5="","",A5+7)</f>
        <v>46345</v>
      </c>
      <c r="H5" s="27" t="s">
        <v>71</v>
      </c>
      <c r="I5" s="5" t="n">
        <f aca="false">IF(A5="","",A5+21)</f>
        <v>46359</v>
      </c>
      <c r="J5" s="27" t="s">
        <v>71</v>
      </c>
      <c r="K5" s="22" t="str">
        <f aca="true">IF(A5="","",IF(J5="Sí","Cerrado",IF(AND(H5&lt;&gt;"Sí",TODAY()&gt;=G5),"Repasar (1)",IF(AND(H5="Sí",TODAY()&gt;=I5),"Repasar (2)","En espera"))))</f>
        <v>En espera</v>
      </c>
    </row>
    <row r="6" customFormat="false" ht="15" hidden="false" customHeight="false" outlineLevel="0" collapsed="false">
      <c r="A6" s="4"/>
      <c r="B6" s="18"/>
      <c r="C6" s="18"/>
      <c r="D6" s="18"/>
      <c r="E6" s="18"/>
      <c r="F6" s="18"/>
      <c r="G6" s="5" t="str">
        <f aca="false">IF(A6="","",A6+7)</f>
        <v/>
      </c>
      <c r="H6" s="18"/>
      <c r="I6" s="5" t="str">
        <f aca="false">IF(A6="","",A6+21)</f>
        <v/>
      </c>
      <c r="J6" s="18"/>
      <c r="K6" s="17" t="str">
        <f aca="true">IF(A6="","",IF(J6="Sí","Cerrado",IF(AND(H6&lt;&gt;"Sí",TODAY()&gt;=G6),"Repasar (1)",IF(AND(H6="Sí",TODAY()&gt;=I6),"Repasar (2)","En espera"))))</f>
        <v/>
      </c>
    </row>
    <row r="7" customFormat="false" ht="15" hidden="false" customHeight="false" outlineLevel="0" collapsed="false">
      <c r="A7" s="4"/>
      <c r="B7" s="18"/>
      <c r="C7" s="18"/>
      <c r="D7" s="18"/>
      <c r="E7" s="18"/>
      <c r="F7" s="18"/>
      <c r="G7" s="5" t="str">
        <f aca="false">IF(A7="","",A7+7)</f>
        <v/>
      </c>
      <c r="H7" s="18"/>
      <c r="I7" s="5" t="str">
        <f aca="false">IF(A7="","",A7+21)</f>
        <v/>
      </c>
      <c r="J7" s="18"/>
      <c r="K7" s="17" t="str">
        <f aca="true">IF(A7="","",IF(J7="Sí","Cerrado",IF(AND(H7&lt;&gt;"Sí",TODAY()&gt;=G7),"Repasar (1)",IF(AND(H7="Sí",TODAY()&gt;=I7),"Repasar (2)","En espera"))))</f>
        <v/>
      </c>
    </row>
    <row r="8" customFormat="false" ht="15" hidden="false" customHeight="false" outlineLevel="0" collapsed="false">
      <c r="A8" s="4"/>
      <c r="B8" s="18"/>
      <c r="C8" s="18"/>
      <c r="D8" s="18"/>
      <c r="E8" s="18"/>
      <c r="F8" s="18"/>
      <c r="G8" s="5" t="str">
        <f aca="false">IF(A8="","",A8+7)</f>
        <v/>
      </c>
      <c r="H8" s="18"/>
      <c r="I8" s="5" t="str">
        <f aca="false">IF(A8="","",A8+21)</f>
        <v/>
      </c>
      <c r="J8" s="18"/>
      <c r="K8" s="17" t="str">
        <f aca="true">IF(A8="","",IF(J8="Sí","Cerrado",IF(AND(H8&lt;&gt;"Sí",TODAY()&gt;=G8),"Repasar (1)",IF(AND(H8="Sí",TODAY()&gt;=I8),"Repasar (2)","En espera"))))</f>
        <v/>
      </c>
    </row>
    <row r="9" customFormat="false" ht="15" hidden="false" customHeight="false" outlineLevel="0" collapsed="false">
      <c r="A9" s="4"/>
      <c r="B9" s="18"/>
      <c r="C9" s="18"/>
      <c r="D9" s="18"/>
      <c r="E9" s="18"/>
      <c r="F9" s="18"/>
      <c r="G9" s="5" t="str">
        <f aca="false">IF(A9="","",A9+7)</f>
        <v/>
      </c>
      <c r="H9" s="18"/>
      <c r="I9" s="5" t="str">
        <f aca="false">IF(A9="","",A9+21)</f>
        <v/>
      </c>
      <c r="J9" s="18"/>
      <c r="K9" s="17" t="str">
        <f aca="true">IF(A9="","",IF(J9="Sí","Cerrado",IF(AND(H9&lt;&gt;"Sí",TODAY()&gt;=G9),"Repasar (1)",IF(AND(H9="Sí",TODAY()&gt;=I9),"Repasar (2)","En espera"))))</f>
        <v/>
      </c>
    </row>
    <row r="10" customFormat="false" ht="15" hidden="false" customHeight="false" outlineLevel="0" collapsed="false">
      <c r="A10" s="4"/>
      <c r="B10" s="18"/>
      <c r="C10" s="18"/>
      <c r="D10" s="18"/>
      <c r="E10" s="18"/>
      <c r="F10" s="18"/>
      <c r="G10" s="5" t="str">
        <f aca="false">IF(A10="","",A10+7)</f>
        <v/>
      </c>
      <c r="H10" s="18"/>
      <c r="I10" s="5" t="str">
        <f aca="false">IF(A10="","",A10+21)</f>
        <v/>
      </c>
      <c r="J10" s="18"/>
      <c r="K10" s="17" t="str">
        <f aca="true">IF(A10="","",IF(J10="Sí","Cerrado",IF(AND(H10&lt;&gt;"Sí",TODAY()&gt;=G10),"Repasar (1)",IF(AND(H10="Sí",TODAY()&gt;=I10),"Repasar (2)","En espera"))))</f>
        <v/>
      </c>
    </row>
    <row r="11" customFormat="false" ht="15" hidden="false" customHeight="false" outlineLevel="0" collapsed="false">
      <c r="A11" s="4"/>
      <c r="B11" s="18"/>
      <c r="C11" s="18"/>
      <c r="D11" s="18"/>
      <c r="E11" s="18"/>
      <c r="F11" s="18"/>
      <c r="G11" s="5" t="str">
        <f aca="false">IF(A11="","",A11+7)</f>
        <v/>
      </c>
      <c r="H11" s="18"/>
      <c r="I11" s="5" t="str">
        <f aca="false">IF(A11="","",A11+21)</f>
        <v/>
      </c>
      <c r="J11" s="18"/>
      <c r="K11" s="17" t="str">
        <f aca="true">IF(A11="","",IF(J11="Sí","Cerrado",IF(AND(H11&lt;&gt;"Sí",TODAY()&gt;=G11),"Repasar (1)",IF(AND(H11="Sí",TODAY()&gt;=I11),"Repasar (2)","En espera"))))</f>
        <v/>
      </c>
    </row>
    <row r="12" customFormat="false" ht="15" hidden="false" customHeight="false" outlineLevel="0" collapsed="false">
      <c r="A12" s="4"/>
      <c r="B12" s="18"/>
      <c r="C12" s="18"/>
      <c r="D12" s="18"/>
      <c r="E12" s="18"/>
      <c r="F12" s="18"/>
      <c r="G12" s="5" t="str">
        <f aca="false">IF(A12="","",A12+7)</f>
        <v/>
      </c>
      <c r="H12" s="18"/>
      <c r="I12" s="5" t="str">
        <f aca="false">IF(A12="","",A12+21)</f>
        <v/>
      </c>
      <c r="J12" s="18"/>
      <c r="K12" s="17" t="str">
        <f aca="true">IF(A12="","",IF(J12="Sí","Cerrado",IF(AND(H12&lt;&gt;"Sí",TODAY()&gt;=G12),"Repasar (1)",IF(AND(H12="Sí",TODAY()&gt;=I12),"Repasar (2)","En espera"))))</f>
        <v/>
      </c>
    </row>
    <row r="13" customFormat="false" ht="15" hidden="false" customHeight="false" outlineLevel="0" collapsed="false">
      <c r="A13" s="4"/>
      <c r="B13" s="18"/>
      <c r="C13" s="18"/>
      <c r="D13" s="18"/>
      <c r="E13" s="18"/>
      <c r="F13" s="18"/>
      <c r="G13" s="5" t="str">
        <f aca="false">IF(A13="","",A13+7)</f>
        <v/>
      </c>
      <c r="H13" s="18"/>
      <c r="I13" s="5" t="str">
        <f aca="false">IF(A13="","",A13+21)</f>
        <v/>
      </c>
      <c r="J13" s="18"/>
      <c r="K13" s="17" t="str">
        <f aca="true">IF(A13="","",IF(J13="Sí","Cerrado",IF(AND(H13&lt;&gt;"Sí",TODAY()&gt;=G13),"Repasar (1)",IF(AND(H13="Sí",TODAY()&gt;=I13),"Repasar (2)","En espera"))))</f>
        <v/>
      </c>
    </row>
    <row r="14" customFormat="false" ht="15" hidden="false" customHeight="false" outlineLevel="0" collapsed="false">
      <c r="A14" s="4"/>
      <c r="B14" s="18"/>
      <c r="C14" s="18"/>
      <c r="D14" s="18"/>
      <c r="E14" s="18"/>
      <c r="F14" s="18"/>
      <c r="G14" s="5" t="str">
        <f aca="false">IF(A14="","",A14+7)</f>
        <v/>
      </c>
      <c r="H14" s="18"/>
      <c r="I14" s="5" t="str">
        <f aca="false">IF(A14="","",A14+21)</f>
        <v/>
      </c>
      <c r="J14" s="18"/>
      <c r="K14" s="17" t="str">
        <f aca="true">IF(A14="","",IF(J14="Sí","Cerrado",IF(AND(H14&lt;&gt;"Sí",TODAY()&gt;=G14),"Repasar (1)",IF(AND(H14="Sí",TODAY()&gt;=I14),"Repasar (2)","En espera"))))</f>
        <v/>
      </c>
    </row>
    <row r="15" customFormat="false" ht="15" hidden="false" customHeight="false" outlineLevel="0" collapsed="false">
      <c r="A15" s="4"/>
      <c r="B15" s="18"/>
      <c r="C15" s="18"/>
      <c r="D15" s="18"/>
      <c r="E15" s="18"/>
      <c r="F15" s="18"/>
      <c r="G15" s="5" t="str">
        <f aca="false">IF(A15="","",A15+7)</f>
        <v/>
      </c>
      <c r="H15" s="18"/>
      <c r="I15" s="5" t="str">
        <f aca="false">IF(A15="","",A15+21)</f>
        <v/>
      </c>
      <c r="J15" s="18"/>
      <c r="K15" s="17" t="str">
        <f aca="true">IF(A15="","",IF(J15="Sí","Cerrado",IF(AND(H15&lt;&gt;"Sí",TODAY()&gt;=G15),"Repasar (1)",IF(AND(H15="Sí",TODAY()&gt;=I15),"Repasar (2)","En espera"))))</f>
        <v/>
      </c>
    </row>
    <row r="16" customFormat="false" ht="15" hidden="false" customHeight="false" outlineLevel="0" collapsed="false">
      <c r="A16" s="4"/>
      <c r="B16" s="18"/>
      <c r="C16" s="18"/>
      <c r="D16" s="18"/>
      <c r="E16" s="18"/>
      <c r="F16" s="18"/>
      <c r="G16" s="5" t="str">
        <f aca="false">IF(A16="","",A16+7)</f>
        <v/>
      </c>
      <c r="H16" s="18"/>
      <c r="I16" s="5" t="str">
        <f aca="false">IF(A16="","",A16+21)</f>
        <v/>
      </c>
      <c r="J16" s="18"/>
      <c r="K16" s="17" t="str">
        <f aca="true">IF(A16="","",IF(J16="Sí","Cerrado",IF(AND(H16&lt;&gt;"Sí",TODAY()&gt;=G16),"Repasar (1)",IF(AND(H16="Sí",TODAY()&gt;=I16),"Repasar (2)","En espera"))))</f>
        <v/>
      </c>
    </row>
    <row r="17" customFormat="false" ht="15" hidden="false" customHeight="false" outlineLevel="0" collapsed="false">
      <c r="A17" s="4"/>
      <c r="B17" s="18"/>
      <c r="C17" s="18"/>
      <c r="D17" s="18"/>
      <c r="E17" s="18"/>
      <c r="F17" s="18"/>
      <c r="G17" s="5" t="str">
        <f aca="false">IF(A17="","",A17+7)</f>
        <v/>
      </c>
      <c r="H17" s="18"/>
      <c r="I17" s="5" t="str">
        <f aca="false">IF(A17="","",A17+21)</f>
        <v/>
      </c>
      <c r="J17" s="18"/>
      <c r="K17" s="17" t="str">
        <f aca="true">IF(A17="","",IF(J17="Sí","Cerrado",IF(AND(H17&lt;&gt;"Sí",TODAY()&gt;=G17),"Repasar (1)",IF(AND(H17="Sí",TODAY()&gt;=I17),"Repasar (2)","En espera"))))</f>
        <v/>
      </c>
    </row>
    <row r="18" customFormat="false" ht="15" hidden="false" customHeight="false" outlineLevel="0" collapsed="false">
      <c r="A18" s="4"/>
      <c r="B18" s="18"/>
      <c r="C18" s="18"/>
      <c r="D18" s="18"/>
      <c r="E18" s="18"/>
      <c r="F18" s="18"/>
      <c r="G18" s="5" t="str">
        <f aca="false">IF(A18="","",A18+7)</f>
        <v/>
      </c>
      <c r="H18" s="18"/>
      <c r="I18" s="5" t="str">
        <f aca="false">IF(A18="","",A18+21)</f>
        <v/>
      </c>
      <c r="J18" s="18"/>
      <c r="K18" s="17" t="str">
        <f aca="true">IF(A18="","",IF(J18="Sí","Cerrado",IF(AND(H18&lt;&gt;"Sí",TODAY()&gt;=G18),"Repasar (1)",IF(AND(H18="Sí",TODAY()&gt;=I18),"Repasar (2)","En espera"))))</f>
        <v/>
      </c>
    </row>
    <row r="19" customFormat="false" ht="15" hidden="false" customHeight="false" outlineLevel="0" collapsed="false">
      <c r="A19" s="4"/>
      <c r="B19" s="18"/>
      <c r="C19" s="18"/>
      <c r="D19" s="18"/>
      <c r="E19" s="18"/>
      <c r="F19" s="18"/>
      <c r="G19" s="5" t="str">
        <f aca="false">IF(A19="","",A19+7)</f>
        <v/>
      </c>
      <c r="H19" s="18"/>
      <c r="I19" s="5" t="str">
        <f aca="false">IF(A19="","",A19+21)</f>
        <v/>
      </c>
      <c r="J19" s="18"/>
      <c r="K19" s="17" t="str">
        <f aca="true">IF(A19="","",IF(J19="Sí","Cerrado",IF(AND(H19&lt;&gt;"Sí",TODAY()&gt;=G19),"Repasar (1)",IF(AND(H19="Sí",TODAY()&gt;=I19),"Repasar (2)","En espera"))))</f>
        <v/>
      </c>
    </row>
    <row r="20" customFormat="false" ht="15" hidden="false" customHeight="false" outlineLevel="0" collapsed="false">
      <c r="A20" s="4"/>
      <c r="B20" s="18"/>
      <c r="C20" s="18"/>
      <c r="D20" s="18"/>
      <c r="E20" s="18"/>
      <c r="F20" s="18"/>
      <c r="G20" s="5" t="str">
        <f aca="false">IF(A20="","",A20+7)</f>
        <v/>
      </c>
      <c r="H20" s="18"/>
      <c r="I20" s="5" t="str">
        <f aca="false">IF(A20="","",A20+21)</f>
        <v/>
      </c>
      <c r="J20" s="18"/>
      <c r="K20" s="17" t="str">
        <f aca="true">IF(A20="","",IF(J20="Sí","Cerrado",IF(AND(H20&lt;&gt;"Sí",TODAY()&gt;=G20),"Repasar (1)",IF(AND(H20="Sí",TODAY()&gt;=I20),"Repasar (2)","En espera"))))</f>
        <v/>
      </c>
    </row>
    <row r="21" customFormat="false" ht="15" hidden="false" customHeight="false" outlineLevel="0" collapsed="false">
      <c r="A21" s="4"/>
      <c r="B21" s="18"/>
      <c r="C21" s="18"/>
      <c r="D21" s="18"/>
      <c r="E21" s="18"/>
      <c r="F21" s="18"/>
      <c r="G21" s="5" t="str">
        <f aca="false">IF(A21="","",A21+7)</f>
        <v/>
      </c>
      <c r="H21" s="18"/>
      <c r="I21" s="5" t="str">
        <f aca="false">IF(A21="","",A21+21)</f>
        <v/>
      </c>
      <c r="J21" s="18"/>
      <c r="K21" s="17" t="str">
        <f aca="true">IF(A21="","",IF(J21="Sí","Cerrado",IF(AND(H21&lt;&gt;"Sí",TODAY()&gt;=G21),"Repasar (1)",IF(AND(H21="Sí",TODAY()&gt;=I21),"Repasar (2)","En espera"))))</f>
        <v/>
      </c>
    </row>
    <row r="22" customFormat="false" ht="15" hidden="false" customHeight="false" outlineLevel="0" collapsed="false">
      <c r="A22" s="4"/>
      <c r="B22" s="18"/>
      <c r="C22" s="18"/>
      <c r="D22" s="18"/>
      <c r="E22" s="18"/>
      <c r="F22" s="18"/>
      <c r="G22" s="5" t="str">
        <f aca="false">IF(A22="","",A22+7)</f>
        <v/>
      </c>
      <c r="H22" s="18"/>
      <c r="I22" s="5" t="str">
        <f aca="false">IF(A22="","",A22+21)</f>
        <v/>
      </c>
      <c r="J22" s="18"/>
      <c r="K22" s="17" t="str">
        <f aca="true">IF(A22="","",IF(J22="Sí","Cerrado",IF(AND(H22&lt;&gt;"Sí",TODAY()&gt;=G22),"Repasar (1)",IF(AND(H22="Sí",TODAY()&gt;=I22),"Repasar (2)","En espera"))))</f>
        <v/>
      </c>
    </row>
    <row r="23" customFormat="false" ht="15" hidden="false" customHeight="false" outlineLevel="0" collapsed="false">
      <c r="A23" s="4"/>
      <c r="B23" s="18"/>
      <c r="C23" s="18"/>
      <c r="D23" s="18"/>
      <c r="E23" s="18"/>
      <c r="F23" s="18"/>
      <c r="G23" s="5" t="str">
        <f aca="false">IF(A23="","",A23+7)</f>
        <v/>
      </c>
      <c r="H23" s="18"/>
      <c r="I23" s="5" t="str">
        <f aca="false">IF(A23="","",A23+21)</f>
        <v/>
      </c>
      <c r="J23" s="18"/>
      <c r="K23" s="17" t="str">
        <f aca="true">IF(A23="","",IF(J23="Sí","Cerrado",IF(AND(H23&lt;&gt;"Sí",TODAY()&gt;=G23),"Repasar (1)",IF(AND(H23="Sí",TODAY()&gt;=I23),"Repasar (2)","En espera"))))</f>
        <v/>
      </c>
    </row>
    <row r="24" customFormat="false" ht="15" hidden="false" customHeight="false" outlineLevel="0" collapsed="false">
      <c r="A24" s="4"/>
      <c r="B24" s="18"/>
      <c r="C24" s="18"/>
      <c r="D24" s="18"/>
      <c r="E24" s="18"/>
      <c r="F24" s="18"/>
      <c r="G24" s="5" t="str">
        <f aca="false">IF(A24="","",A24+7)</f>
        <v/>
      </c>
      <c r="H24" s="18"/>
      <c r="I24" s="5" t="str">
        <f aca="false">IF(A24="","",A24+21)</f>
        <v/>
      </c>
      <c r="J24" s="18"/>
      <c r="K24" s="17" t="str">
        <f aca="true">IF(A24="","",IF(J24="Sí","Cerrado",IF(AND(H24&lt;&gt;"Sí",TODAY()&gt;=G24),"Repasar (1)",IF(AND(H24="Sí",TODAY()&gt;=I24),"Repasar (2)","En espera"))))</f>
        <v/>
      </c>
    </row>
    <row r="25" customFormat="false" ht="15" hidden="false" customHeight="false" outlineLevel="0" collapsed="false">
      <c r="A25" s="4"/>
      <c r="B25" s="18"/>
      <c r="C25" s="18"/>
      <c r="D25" s="18"/>
      <c r="E25" s="18"/>
      <c r="F25" s="18"/>
      <c r="G25" s="5" t="str">
        <f aca="false">IF(A25="","",A25+7)</f>
        <v/>
      </c>
      <c r="H25" s="18"/>
      <c r="I25" s="5" t="str">
        <f aca="false">IF(A25="","",A25+21)</f>
        <v/>
      </c>
      <c r="J25" s="18"/>
      <c r="K25" s="17" t="str">
        <f aca="true">IF(A25="","",IF(J25="Sí","Cerrado",IF(AND(H25&lt;&gt;"Sí",TODAY()&gt;=G25),"Repasar (1)",IF(AND(H25="Sí",TODAY()&gt;=I25),"Repasar (2)","En espera"))))</f>
        <v/>
      </c>
    </row>
    <row r="26" customFormat="false" ht="15" hidden="false" customHeight="false" outlineLevel="0" collapsed="false">
      <c r="A26" s="4"/>
      <c r="B26" s="18"/>
      <c r="C26" s="18"/>
      <c r="D26" s="18"/>
      <c r="E26" s="18"/>
      <c r="F26" s="18"/>
      <c r="G26" s="5" t="str">
        <f aca="false">IF(A26="","",A26+7)</f>
        <v/>
      </c>
      <c r="H26" s="18"/>
      <c r="I26" s="5" t="str">
        <f aca="false">IF(A26="","",A26+21)</f>
        <v/>
      </c>
      <c r="J26" s="18"/>
      <c r="K26" s="17" t="str">
        <f aca="true">IF(A26="","",IF(J26="Sí","Cerrado",IF(AND(H26&lt;&gt;"Sí",TODAY()&gt;=G26),"Repasar (1)",IF(AND(H26="Sí",TODAY()&gt;=I26),"Repasar (2)","En espera"))))</f>
        <v/>
      </c>
    </row>
    <row r="27" customFormat="false" ht="15" hidden="false" customHeight="false" outlineLevel="0" collapsed="false">
      <c r="A27" s="4"/>
      <c r="B27" s="18"/>
      <c r="C27" s="18"/>
      <c r="D27" s="18"/>
      <c r="E27" s="18"/>
      <c r="F27" s="18"/>
      <c r="G27" s="5" t="str">
        <f aca="false">IF(A27="","",A27+7)</f>
        <v/>
      </c>
      <c r="H27" s="18"/>
      <c r="I27" s="5" t="str">
        <f aca="false">IF(A27="","",A27+21)</f>
        <v/>
      </c>
      <c r="J27" s="18"/>
      <c r="K27" s="17" t="str">
        <f aca="true">IF(A27="","",IF(J27="Sí","Cerrado",IF(AND(H27&lt;&gt;"Sí",TODAY()&gt;=G27),"Repasar (1)",IF(AND(H27="Sí",TODAY()&gt;=I27),"Repasar (2)","En espera"))))</f>
        <v/>
      </c>
    </row>
    <row r="28" customFormat="false" ht="15" hidden="false" customHeight="false" outlineLevel="0" collapsed="false">
      <c r="A28" s="4"/>
      <c r="B28" s="18"/>
      <c r="C28" s="18"/>
      <c r="D28" s="18"/>
      <c r="E28" s="18"/>
      <c r="F28" s="18"/>
      <c r="G28" s="5" t="str">
        <f aca="false">IF(A28="","",A28+7)</f>
        <v/>
      </c>
      <c r="H28" s="18"/>
      <c r="I28" s="5" t="str">
        <f aca="false">IF(A28="","",A28+21)</f>
        <v/>
      </c>
      <c r="J28" s="18"/>
      <c r="K28" s="17" t="str">
        <f aca="true">IF(A28="","",IF(J28="Sí","Cerrado",IF(AND(H28&lt;&gt;"Sí",TODAY()&gt;=G28),"Repasar (1)",IF(AND(H28="Sí",TODAY()&gt;=I28),"Repasar (2)","En espera"))))</f>
        <v/>
      </c>
    </row>
    <row r="29" customFormat="false" ht="15" hidden="false" customHeight="false" outlineLevel="0" collapsed="false">
      <c r="A29" s="4"/>
      <c r="B29" s="18"/>
      <c r="C29" s="18"/>
      <c r="D29" s="18"/>
      <c r="E29" s="18"/>
      <c r="F29" s="18"/>
      <c r="G29" s="5" t="str">
        <f aca="false">IF(A29="","",A29+7)</f>
        <v/>
      </c>
      <c r="H29" s="18"/>
      <c r="I29" s="5" t="str">
        <f aca="false">IF(A29="","",A29+21)</f>
        <v/>
      </c>
      <c r="J29" s="18"/>
      <c r="K29" s="17" t="str">
        <f aca="true">IF(A29="","",IF(J29="Sí","Cerrado",IF(AND(H29&lt;&gt;"Sí",TODAY()&gt;=G29),"Repasar (1)",IF(AND(H29="Sí",TODAY()&gt;=I29),"Repasar (2)","En espera"))))</f>
        <v/>
      </c>
    </row>
    <row r="30" customFormat="false" ht="15" hidden="false" customHeight="false" outlineLevel="0" collapsed="false">
      <c r="A30" s="4"/>
      <c r="B30" s="18"/>
      <c r="C30" s="18"/>
      <c r="D30" s="18"/>
      <c r="E30" s="18"/>
      <c r="F30" s="18"/>
      <c r="G30" s="5" t="str">
        <f aca="false">IF(A30="","",A30+7)</f>
        <v/>
      </c>
      <c r="H30" s="18"/>
      <c r="I30" s="5" t="str">
        <f aca="false">IF(A30="","",A30+21)</f>
        <v/>
      </c>
      <c r="J30" s="18"/>
      <c r="K30" s="17" t="str">
        <f aca="true">IF(A30="","",IF(J30="Sí","Cerrado",IF(AND(H30&lt;&gt;"Sí",TODAY()&gt;=G30),"Repasar (1)",IF(AND(H30="Sí",TODAY()&gt;=I30),"Repasar (2)","En espera"))))</f>
        <v/>
      </c>
    </row>
    <row r="31" customFormat="false" ht="15" hidden="false" customHeight="false" outlineLevel="0" collapsed="false">
      <c r="A31" s="4"/>
      <c r="B31" s="18"/>
      <c r="C31" s="18"/>
      <c r="D31" s="18"/>
      <c r="E31" s="18"/>
      <c r="F31" s="18"/>
      <c r="G31" s="5" t="str">
        <f aca="false">IF(A31="","",A31+7)</f>
        <v/>
      </c>
      <c r="H31" s="18"/>
      <c r="I31" s="5" t="str">
        <f aca="false">IF(A31="","",A31+21)</f>
        <v/>
      </c>
      <c r="J31" s="18"/>
      <c r="K31" s="17" t="str">
        <f aca="true">IF(A31="","",IF(J31="Sí","Cerrado",IF(AND(H31&lt;&gt;"Sí",TODAY()&gt;=G31),"Repasar (1)",IF(AND(H31="Sí",TODAY()&gt;=I31),"Repasar (2)","En espera"))))</f>
        <v/>
      </c>
    </row>
    <row r="32" customFormat="false" ht="15" hidden="false" customHeight="false" outlineLevel="0" collapsed="false">
      <c r="A32" s="4"/>
      <c r="B32" s="18"/>
      <c r="C32" s="18"/>
      <c r="D32" s="18"/>
      <c r="E32" s="18"/>
      <c r="F32" s="18"/>
      <c r="G32" s="5" t="str">
        <f aca="false">IF(A32="","",A32+7)</f>
        <v/>
      </c>
      <c r="H32" s="18"/>
      <c r="I32" s="5" t="str">
        <f aca="false">IF(A32="","",A32+21)</f>
        <v/>
      </c>
      <c r="J32" s="18"/>
      <c r="K32" s="17" t="str">
        <f aca="true">IF(A32="","",IF(J32="Sí","Cerrado",IF(AND(H32&lt;&gt;"Sí",TODAY()&gt;=G32),"Repasar (1)",IF(AND(H32="Sí",TODAY()&gt;=I32),"Repasar (2)","En espera"))))</f>
        <v/>
      </c>
    </row>
    <row r="33" customFormat="false" ht="15" hidden="false" customHeight="false" outlineLevel="0" collapsed="false">
      <c r="A33" s="4"/>
      <c r="B33" s="18"/>
      <c r="C33" s="18"/>
      <c r="D33" s="18"/>
      <c r="E33" s="18"/>
      <c r="F33" s="18"/>
      <c r="G33" s="5" t="str">
        <f aca="false">IF(A33="","",A33+7)</f>
        <v/>
      </c>
      <c r="H33" s="18"/>
      <c r="I33" s="5" t="str">
        <f aca="false">IF(A33="","",A33+21)</f>
        <v/>
      </c>
      <c r="J33" s="18"/>
      <c r="K33" s="17" t="str">
        <f aca="true">IF(A33="","",IF(J33="Sí","Cerrado",IF(AND(H33&lt;&gt;"Sí",TODAY()&gt;=G33),"Repasar (1)",IF(AND(H33="Sí",TODAY()&gt;=I33),"Repasar (2)","En espera"))))</f>
        <v/>
      </c>
    </row>
    <row r="34" customFormat="false" ht="15" hidden="false" customHeight="false" outlineLevel="0" collapsed="false">
      <c r="A34" s="4"/>
      <c r="B34" s="18"/>
      <c r="C34" s="18"/>
      <c r="D34" s="18"/>
      <c r="E34" s="18"/>
      <c r="F34" s="18"/>
      <c r="G34" s="5" t="str">
        <f aca="false">IF(A34="","",A34+7)</f>
        <v/>
      </c>
      <c r="H34" s="18"/>
      <c r="I34" s="5" t="str">
        <f aca="false">IF(A34="","",A34+21)</f>
        <v/>
      </c>
      <c r="J34" s="18"/>
      <c r="K34" s="17" t="str">
        <f aca="true">IF(A34="","",IF(J34="Sí","Cerrado",IF(AND(H34&lt;&gt;"Sí",TODAY()&gt;=G34),"Repasar (1)",IF(AND(H34="Sí",TODAY()&gt;=I34),"Repasar (2)","En espera"))))</f>
        <v/>
      </c>
    </row>
    <row r="35" customFormat="false" ht="15" hidden="false" customHeight="false" outlineLevel="0" collapsed="false">
      <c r="A35" s="4"/>
      <c r="B35" s="18"/>
      <c r="C35" s="18"/>
      <c r="D35" s="18"/>
      <c r="E35" s="18"/>
      <c r="F35" s="18"/>
      <c r="G35" s="5" t="str">
        <f aca="false">IF(A35="","",A35+7)</f>
        <v/>
      </c>
      <c r="H35" s="18"/>
      <c r="I35" s="5" t="str">
        <f aca="false">IF(A35="","",A35+21)</f>
        <v/>
      </c>
      <c r="J35" s="18"/>
      <c r="K35" s="17" t="str">
        <f aca="true">IF(A35="","",IF(J35="Sí","Cerrado",IF(AND(H35&lt;&gt;"Sí",TODAY()&gt;=G35),"Repasar (1)",IF(AND(H35="Sí",TODAY()&gt;=I35),"Repasar (2)","En espera"))))</f>
        <v/>
      </c>
    </row>
    <row r="36" customFormat="false" ht="15" hidden="false" customHeight="false" outlineLevel="0" collapsed="false">
      <c r="A36" s="4"/>
      <c r="B36" s="18"/>
      <c r="C36" s="18"/>
      <c r="D36" s="18"/>
      <c r="E36" s="18"/>
      <c r="F36" s="18"/>
      <c r="G36" s="5" t="str">
        <f aca="false">IF(A36="","",A36+7)</f>
        <v/>
      </c>
      <c r="H36" s="18"/>
      <c r="I36" s="5" t="str">
        <f aca="false">IF(A36="","",A36+21)</f>
        <v/>
      </c>
      <c r="J36" s="18"/>
      <c r="K36" s="17" t="str">
        <f aca="true">IF(A36="","",IF(J36="Sí","Cerrado",IF(AND(H36&lt;&gt;"Sí",TODAY()&gt;=G36),"Repasar (1)",IF(AND(H36="Sí",TODAY()&gt;=I36),"Repasar (2)","En espera"))))</f>
        <v/>
      </c>
    </row>
    <row r="37" customFormat="false" ht="15" hidden="false" customHeight="false" outlineLevel="0" collapsed="false">
      <c r="A37" s="4"/>
      <c r="B37" s="18"/>
      <c r="C37" s="18"/>
      <c r="D37" s="18"/>
      <c r="E37" s="18"/>
      <c r="F37" s="18"/>
      <c r="G37" s="5" t="str">
        <f aca="false">IF(A37="","",A37+7)</f>
        <v/>
      </c>
      <c r="H37" s="18"/>
      <c r="I37" s="5" t="str">
        <f aca="false">IF(A37="","",A37+21)</f>
        <v/>
      </c>
      <c r="J37" s="18"/>
      <c r="K37" s="17" t="str">
        <f aca="true">IF(A37="","",IF(J37="Sí","Cerrado",IF(AND(H37&lt;&gt;"Sí",TODAY()&gt;=G37),"Repasar (1)",IF(AND(H37="Sí",TODAY()&gt;=I37),"Repasar (2)","En espera"))))</f>
        <v/>
      </c>
    </row>
    <row r="38" customFormat="false" ht="15" hidden="false" customHeight="false" outlineLevel="0" collapsed="false">
      <c r="A38" s="4"/>
      <c r="B38" s="18"/>
      <c r="C38" s="18"/>
      <c r="D38" s="18"/>
      <c r="E38" s="18"/>
      <c r="F38" s="18"/>
      <c r="G38" s="5" t="str">
        <f aca="false">IF(A38="","",A38+7)</f>
        <v/>
      </c>
      <c r="H38" s="18"/>
      <c r="I38" s="5" t="str">
        <f aca="false">IF(A38="","",A38+21)</f>
        <v/>
      </c>
      <c r="J38" s="18"/>
      <c r="K38" s="17" t="str">
        <f aca="true">IF(A38="","",IF(J38="Sí","Cerrado",IF(AND(H38&lt;&gt;"Sí",TODAY()&gt;=G38),"Repasar (1)",IF(AND(H38="Sí",TODAY()&gt;=I38),"Repasar (2)","En espera"))))</f>
        <v/>
      </c>
    </row>
    <row r="39" customFormat="false" ht="15" hidden="false" customHeight="false" outlineLevel="0" collapsed="false">
      <c r="A39" s="4"/>
      <c r="B39" s="18"/>
      <c r="C39" s="18"/>
      <c r="D39" s="18"/>
      <c r="E39" s="18"/>
      <c r="F39" s="18"/>
      <c r="G39" s="5" t="str">
        <f aca="false">IF(A39="","",A39+7)</f>
        <v/>
      </c>
      <c r="H39" s="18"/>
      <c r="I39" s="5" t="str">
        <f aca="false">IF(A39="","",A39+21)</f>
        <v/>
      </c>
      <c r="J39" s="18"/>
      <c r="K39" s="17" t="str">
        <f aca="true">IF(A39="","",IF(J39="Sí","Cerrado",IF(AND(H39&lt;&gt;"Sí",TODAY()&gt;=G39),"Repasar (1)",IF(AND(H39="Sí",TODAY()&gt;=I39),"Repasar (2)","En espera"))))</f>
        <v/>
      </c>
    </row>
    <row r="40" customFormat="false" ht="15" hidden="false" customHeight="false" outlineLevel="0" collapsed="false">
      <c r="A40" s="4"/>
      <c r="B40" s="18"/>
      <c r="C40" s="18"/>
      <c r="D40" s="18"/>
      <c r="E40" s="18"/>
      <c r="F40" s="18"/>
      <c r="G40" s="5" t="str">
        <f aca="false">IF(A40="","",A40+7)</f>
        <v/>
      </c>
      <c r="H40" s="18"/>
      <c r="I40" s="5" t="str">
        <f aca="false">IF(A40="","",A40+21)</f>
        <v/>
      </c>
      <c r="J40" s="18"/>
      <c r="K40" s="17" t="str">
        <f aca="true">IF(A40="","",IF(J40="Sí","Cerrado",IF(AND(H40&lt;&gt;"Sí",TODAY()&gt;=G40),"Repasar (1)",IF(AND(H40="Sí",TODAY()&gt;=I40),"Repasar (2)","En espera"))))</f>
        <v/>
      </c>
    </row>
    <row r="41" customFormat="false" ht="15" hidden="false" customHeight="false" outlineLevel="0" collapsed="false">
      <c r="A41" s="4"/>
      <c r="B41" s="18"/>
      <c r="C41" s="18"/>
      <c r="D41" s="18"/>
      <c r="E41" s="18"/>
      <c r="F41" s="18"/>
      <c r="G41" s="5" t="str">
        <f aca="false">IF(A41="","",A41+7)</f>
        <v/>
      </c>
      <c r="H41" s="18"/>
      <c r="I41" s="5" t="str">
        <f aca="false">IF(A41="","",A41+21)</f>
        <v/>
      </c>
      <c r="J41" s="18"/>
      <c r="K41" s="17" t="str">
        <f aca="true">IF(A41="","",IF(J41="Sí","Cerrado",IF(AND(H41&lt;&gt;"Sí",TODAY()&gt;=G41),"Repasar (1)",IF(AND(H41="Sí",TODAY()&gt;=I41),"Repasar (2)","En espera"))))</f>
        <v/>
      </c>
    </row>
    <row r="42" customFormat="false" ht="15" hidden="false" customHeight="false" outlineLevel="0" collapsed="false">
      <c r="A42" s="4"/>
      <c r="B42" s="18"/>
      <c r="C42" s="18"/>
      <c r="D42" s="18"/>
      <c r="E42" s="18"/>
      <c r="F42" s="18"/>
      <c r="G42" s="5" t="str">
        <f aca="false">IF(A42="","",A42+7)</f>
        <v/>
      </c>
      <c r="H42" s="18"/>
      <c r="I42" s="5" t="str">
        <f aca="false">IF(A42="","",A42+21)</f>
        <v/>
      </c>
      <c r="J42" s="18"/>
      <c r="K42" s="17" t="str">
        <f aca="true">IF(A42="","",IF(J42="Sí","Cerrado",IF(AND(H42&lt;&gt;"Sí",TODAY()&gt;=G42),"Repasar (1)",IF(AND(H42="Sí",TODAY()&gt;=I42),"Repasar (2)","En espera"))))</f>
        <v/>
      </c>
    </row>
    <row r="43" customFormat="false" ht="15" hidden="false" customHeight="false" outlineLevel="0" collapsed="false">
      <c r="A43" s="4"/>
      <c r="B43" s="18"/>
      <c r="C43" s="18"/>
      <c r="D43" s="18"/>
      <c r="E43" s="18"/>
      <c r="F43" s="18"/>
      <c r="G43" s="5" t="str">
        <f aca="false">IF(A43="","",A43+7)</f>
        <v/>
      </c>
      <c r="H43" s="18"/>
      <c r="I43" s="5" t="str">
        <f aca="false">IF(A43="","",A43+21)</f>
        <v/>
      </c>
      <c r="J43" s="18"/>
      <c r="K43" s="17" t="str">
        <f aca="true">IF(A43="","",IF(J43="Sí","Cerrado",IF(AND(H43&lt;&gt;"Sí",TODAY()&gt;=G43),"Repasar (1)",IF(AND(H43="Sí",TODAY()&gt;=I43),"Repasar (2)","En espera"))))</f>
        <v/>
      </c>
    </row>
    <row r="44" customFormat="false" ht="15" hidden="false" customHeight="false" outlineLevel="0" collapsed="false">
      <c r="A44" s="4"/>
      <c r="B44" s="18"/>
      <c r="C44" s="18"/>
      <c r="D44" s="18"/>
      <c r="E44" s="18"/>
      <c r="F44" s="18"/>
      <c r="G44" s="5" t="str">
        <f aca="false">IF(A44="","",A44+7)</f>
        <v/>
      </c>
      <c r="H44" s="18"/>
      <c r="I44" s="5" t="str">
        <f aca="false">IF(A44="","",A44+21)</f>
        <v/>
      </c>
      <c r="J44" s="18"/>
      <c r="K44" s="17" t="str">
        <f aca="true">IF(A44="","",IF(J44="Sí","Cerrado",IF(AND(H44&lt;&gt;"Sí",TODAY()&gt;=G44),"Repasar (1)",IF(AND(H44="Sí",TODAY()&gt;=I44),"Repasar (2)","En espera"))))</f>
        <v/>
      </c>
    </row>
    <row r="45" customFormat="false" ht="15" hidden="false" customHeight="false" outlineLevel="0" collapsed="false">
      <c r="A45" s="4"/>
      <c r="B45" s="18"/>
      <c r="C45" s="18"/>
      <c r="D45" s="18"/>
      <c r="E45" s="18"/>
      <c r="F45" s="18"/>
      <c r="G45" s="5" t="str">
        <f aca="false">IF(A45="","",A45+7)</f>
        <v/>
      </c>
      <c r="H45" s="18"/>
      <c r="I45" s="5" t="str">
        <f aca="false">IF(A45="","",A45+21)</f>
        <v/>
      </c>
      <c r="J45" s="18"/>
      <c r="K45" s="17" t="str">
        <f aca="true">IF(A45="","",IF(J45="Sí","Cerrado",IF(AND(H45&lt;&gt;"Sí",TODAY()&gt;=G45),"Repasar (1)",IF(AND(H45="Sí",TODAY()&gt;=I45),"Repasar (2)","En espera"))))</f>
        <v/>
      </c>
    </row>
    <row r="46" customFormat="false" ht="15" hidden="false" customHeight="false" outlineLevel="0" collapsed="false">
      <c r="A46" s="4"/>
      <c r="B46" s="18"/>
      <c r="C46" s="18"/>
      <c r="D46" s="18"/>
      <c r="E46" s="18"/>
      <c r="F46" s="18"/>
      <c r="G46" s="5" t="str">
        <f aca="false">IF(A46="","",A46+7)</f>
        <v/>
      </c>
      <c r="H46" s="18"/>
      <c r="I46" s="5" t="str">
        <f aca="false">IF(A46="","",A46+21)</f>
        <v/>
      </c>
      <c r="J46" s="18"/>
      <c r="K46" s="17" t="str">
        <f aca="true">IF(A46="","",IF(J46="Sí","Cerrado",IF(AND(H46&lt;&gt;"Sí",TODAY()&gt;=G46),"Repasar (1)",IF(AND(H46="Sí",TODAY()&gt;=I46),"Repasar (2)","En espera"))))</f>
        <v/>
      </c>
    </row>
    <row r="47" customFormat="false" ht="15" hidden="false" customHeight="false" outlineLevel="0" collapsed="false">
      <c r="A47" s="4"/>
      <c r="B47" s="18"/>
      <c r="C47" s="18"/>
      <c r="D47" s="18"/>
      <c r="E47" s="18"/>
      <c r="F47" s="18"/>
      <c r="G47" s="5" t="str">
        <f aca="false">IF(A47="","",A47+7)</f>
        <v/>
      </c>
      <c r="H47" s="18"/>
      <c r="I47" s="5" t="str">
        <f aca="false">IF(A47="","",A47+21)</f>
        <v/>
      </c>
      <c r="J47" s="18"/>
      <c r="K47" s="17" t="str">
        <f aca="true">IF(A47="","",IF(J47="Sí","Cerrado",IF(AND(H47&lt;&gt;"Sí",TODAY()&gt;=G47),"Repasar (1)",IF(AND(H47="Sí",TODAY()&gt;=I47),"Repasar (2)","En espera"))))</f>
        <v/>
      </c>
    </row>
    <row r="48" customFormat="false" ht="15" hidden="false" customHeight="false" outlineLevel="0" collapsed="false">
      <c r="A48" s="4"/>
      <c r="B48" s="18"/>
      <c r="C48" s="18"/>
      <c r="D48" s="18"/>
      <c r="E48" s="18"/>
      <c r="F48" s="18"/>
      <c r="G48" s="5" t="str">
        <f aca="false">IF(A48="","",A48+7)</f>
        <v/>
      </c>
      <c r="H48" s="18"/>
      <c r="I48" s="5" t="str">
        <f aca="false">IF(A48="","",A48+21)</f>
        <v/>
      </c>
      <c r="J48" s="18"/>
      <c r="K48" s="17" t="str">
        <f aca="true">IF(A48="","",IF(J48="Sí","Cerrado",IF(AND(H48&lt;&gt;"Sí",TODAY()&gt;=G48),"Repasar (1)",IF(AND(H48="Sí",TODAY()&gt;=I48),"Repasar (2)","En espera"))))</f>
        <v/>
      </c>
    </row>
    <row r="49" customFormat="false" ht="15" hidden="false" customHeight="false" outlineLevel="0" collapsed="false">
      <c r="A49" s="4"/>
      <c r="B49" s="18"/>
      <c r="C49" s="18"/>
      <c r="D49" s="18"/>
      <c r="E49" s="18"/>
      <c r="F49" s="18"/>
      <c r="G49" s="5" t="str">
        <f aca="false">IF(A49="","",A49+7)</f>
        <v/>
      </c>
      <c r="H49" s="18"/>
      <c r="I49" s="5" t="str">
        <f aca="false">IF(A49="","",A49+21)</f>
        <v/>
      </c>
      <c r="J49" s="18"/>
      <c r="K49" s="17" t="str">
        <f aca="true">IF(A49="","",IF(J49="Sí","Cerrado",IF(AND(H49&lt;&gt;"Sí",TODAY()&gt;=G49),"Repasar (1)",IF(AND(H49="Sí",TODAY()&gt;=I49),"Repasar (2)","En espera"))))</f>
        <v/>
      </c>
    </row>
    <row r="50" customFormat="false" ht="15" hidden="false" customHeight="false" outlineLevel="0" collapsed="false">
      <c r="A50" s="4"/>
      <c r="B50" s="18"/>
      <c r="C50" s="18"/>
      <c r="D50" s="18"/>
      <c r="E50" s="18"/>
      <c r="F50" s="18"/>
      <c r="G50" s="5" t="str">
        <f aca="false">IF(A50="","",A50+7)</f>
        <v/>
      </c>
      <c r="H50" s="18"/>
      <c r="I50" s="5" t="str">
        <f aca="false">IF(A50="","",A50+21)</f>
        <v/>
      </c>
      <c r="J50" s="18"/>
      <c r="K50" s="17" t="str">
        <f aca="true">IF(A50="","",IF(J50="Sí","Cerrado",IF(AND(H50&lt;&gt;"Sí",TODAY()&gt;=G50),"Repasar (1)",IF(AND(H50="Sí",TODAY()&gt;=I50),"Repasar (2)","En espera"))))</f>
        <v/>
      </c>
    </row>
    <row r="51" customFormat="false" ht="15" hidden="false" customHeight="false" outlineLevel="0" collapsed="false">
      <c r="A51" s="4"/>
      <c r="B51" s="18"/>
      <c r="C51" s="18"/>
      <c r="D51" s="18"/>
      <c r="E51" s="18"/>
      <c r="F51" s="18"/>
      <c r="G51" s="5" t="str">
        <f aca="false">IF(A51="","",A51+7)</f>
        <v/>
      </c>
      <c r="H51" s="18"/>
      <c r="I51" s="5" t="str">
        <f aca="false">IF(A51="","",A51+21)</f>
        <v/>
      </c>
      <c r="J51" s="18"/>
      <c r="K51" s="17" t="str">
        <f aca="true">IF(A51="","",IF(J51="Sí","Cerrado",IF(AND(H51&lt;&gt;"Sí",TODAY()&gt;=G51),"Repasar (1)",IF(AND(H51="Sí",TODAY()&gt;=I51),"Repasar (2)","En espera"))))</f>
        <v/>
      </c>
    </row>
    <row r="52" customFormat="false" ht="15" hidden="false" customHeight="false" outlineLevel="0" collapsed="false">
      <c r="A52" s="4"/>
      <c r="B52" s="18"/>
      <c r="C52" s="18"/>
      <c r="D52" s="18"/>
      <c r="E52" s="18"/>
      <c r="F52" s="18"/>
      <c r="G52" s="5" t="str">
        <f aca="false">IF(A52="","",A52+7)</f>
        <v/>
      </c>
      <c r="H52" s="18"/>
      <c r="I52" s="5" t="str">
        <f aca="false">IF(A52="","",A52+21)</f>
        <v/>
      </c>
      <c r="J52" s="18"/>
      <c r="K52" s="17" t="str">
        <f aca="true">IF(A52="","",IF(J52="Sí","Cerrado",IF(AND(H52&lt;&gt;"Sí",TODAY()&gt;=G52),"Repasar (1)",IF(AND(H52="Sí",TODAY()&gt;=I52),"Repasar (2)","En espera"))))</f>
        <v/>
      </c>
    </row>
    <row r="53" customFormat="false" ht="15" hidden="false" customHeight="false" outlineLevel="0" collapsed="false">
      <c r="A53" s="4"/>
      <c r="B53" s="18"/>
      <c r="C53" s="18"/>
      <c r="D53" s="18"/>
      <c r="E53" s="18"/>
      <c r="F53" s="18"/>
      <c r="G53" s="5" t="str">
        <f aca="false">IF(A53="","",A53+7)</f>
        <v/>
      </c>
      <c r="H53" s="18"/>
      <c r="I53" s="5" t="str">
        <f aca="false">IF(A53="","",A53+21)</f>
        <v/>
      </c>
      <c r="J53" s="18"/>
      <c r="K53" s="17" t="str">
        <f aca="true">IF(A53="","",IF(J53="Sí","Cerrado",IF(AND(H53&lt;&gt;"Sí",TODAY()&gt;=G53),"Repasar (1)",IF(AND(H53="Sí",TODAY()&gt;=I53),"Repasar (2)","En espera"))))</f>
        <v/>
      </c>
    </row>
    <row r="54" customFormat="false" ht="15" hidden="false" customHeight="false" outlineLevel="0" collapsed="false">
      <c r="A54" s="4"/>
      <c r="B54" s="18"/>
      <c r="C54" s="18"/>
      <c r="D54" s="18"/>
      <c r="E54" s="18"/>
      <c r="F54" s="18"/>
      <c r="G54" s="5" t="str">
        <f aca="false">IF(A54="","",A54+7)</f>
        <v/>
      </c>
      <c r="H54" s="18"/>
      <c r="I54" s="5" t="str">
        <f aca="false">IF(A54="","",A54+21)</f>
        <v/>
      </c>
      <c r="J54" s="18"/>
      <c r="K54" s="17" t="str">
        <f aca="true">IF(A54="","",IF(J54="Sí","Cerrado",IF(AND(H54&lt;&gt;"Sí",TODAY()&gt;=G54),"Repasar (1)",IF(AND(H54="Sí",TODAY()&gt;=I54),"Repasar (2)","En espera"))))</f>
        <v/>
      </c>
    </row>
    <row r="55" customFormat="false" ht="15" hidden="false" customHeight="false" outlineLevel="0" collapsed="false">
      <c r="A55" s="4"/>
      <c r="B55" s="18"/>
      <c r="C55" s="18"/>
      <c r="D55" s="18"/>
      <c r="E55" s="18"/>
      <c r="F55" s="18"/>
      <c r="G55" s="5" t="str">
        <f aca="false">IF(A55="","",A55+7)</f>
        <v/>
      </c>
      <c r="H55" s="18"/>
      <c r="I55" s="5" t="str">
        <f aca="false">IF(A55="","",A55+21)</f>
        <v/>
      </c>
      <c r="J55" s="18"/>
      <c r="K55" s="17" t="str">
        <f aca="true">IF(A55="","",IF(J55="Sí","Cerrado",IF(AND(H55&lt;&gt;"Sí",TODAY()&gt;=G55),"Repasar (1)",IF(AND(H55="Sí",TODAY()&gt;=I55),"Repasar (2)","En espera"))))</f>
        <v/>
      </c>
    </row>
    <row r="56" customFormat="false" ht="15" hidden="false" customHeight="false" outlineLevel="0" collapsed="false">
      <c r="A56" s="4"/>
      <c r="B56" s="18"/>
      <c r="C56" s="18"/>
      <c r="D56" s="18"/>
      <c r="E56" s="18"/>
      <c r="F56" s="18"/>
      <c r="G56" s="5" t="str">
        <f aca="false">IF(A56="","",A56+7)</f>
        <v/>
      </c>
      <c r="H56" s="18"/>
      <c r="I56" s="5" t="str">
        <f aca="false">IF(A56="","",A56+21)</f>
        <v/>
      </c>
      <c r="J56" s="18"/>
      <c r="K56" s="17" t="str">
        <f aca="true">IF(A56="","",IF(J56="Sí","Cerrado",IF(AND(H56&lt;&gt;"Sí",TODAY()&gt;=G56),"Repasar (1)",IF(AND(H56="Sí",TODAY()&gt;=I56),"Repasar (2)","En espera"))))</f>
        <v/>
      </c>
    </row>
    <row r="57" customFormat="false" ht="15" hidden="false" customHeight="false" outlineLevel="0" collapsed="false">
      <c r="A57" s="4"/>
      <c r="B57" s="18"/>
      <c r="C57" s="18"/>
      <c r="D57" s="18"/>
      <c r="E57" s="18"/>
      <c r="F57" s="18"/>
      <c r="G57" s="5" t="str">
        <f aca="false">IF(A57="","",A57+7)</f>
        <v/>
      </c>
      <c r="H57" s="18"/>
      <c r="I57" s="5" t="str">
        <f aca="false">IF(A57="","",A57+21)</f>
        <v/>
      </c>
      <c r="J57" s="18"/>
      <c r="K57" s="17" t="str">
        <f aca="true">IF(A57="","",IF(J57="Sí","Cerrado",IF(AND(H57&lt;&gt;"Sí",TODAY()&gt;=G57),"Repasar (1)",IF(AND(H57="Sí",TODAY()&gt;=I57),"Repasar (2)","En espera"))))</f>
        <v/>
      </c>
    </row>
    <row r="58" customFormat="false" ht="15" hidden="false" customHeight="false" outlineLevel="0" collapsed="false">
      <c r="A58" s="4"/>
      <c r="B58" s="18"/>
      <c r="C58" s="18"/>
      <c r="D58" s="18"/>
      <c r="E58" s="18"/>
      <c r="F58" s="18"/>
      <c r="G58" s="5" t="str">
        <f aca="false">IF(A58="","",A58+7)</f>
        <v/>
      </c>
      <c r="H58" s="18"/>
      <c r="I58" s="5" t="str">
        <f aca="false">IF(A58="","",A58+21)</f>
        <v/>
      </c>
      <c r="J58" s="18"/>
      <c r="K58" s="17" t="str">
        <f aca="true">IF(A58="","",IF(J58="Sí","Cerrado",IF(AND(H58&lt;&gt;"Sí",TODAY()&gt;=G58),"Repasar (1)",IF(AND(H58="Sí",TODAY()&gt;=I58),"Repasar (2)","En espera"))))</f>
        <v/>
      </c>
    </row>
    <row r="59" customFormat="false" ht="15" hidden="false" customHeight="false" outlineLevel="0" collapsed="false">
      <c r="A59" s="4"/>
      <c r="B59" s="18"/>
      <c r="C59" s="18"/>
      <c r="D59" s="18"/>
      <c r="E59" s="18"/>
      <c r="F59" s="18"/>
      <c r="G59" s="5" t="str">
        <f aca="false">IF(A59="","",A59+7)</f>
        <v/>
      </c>
      <c r="H59" s="18"/>
      <c r="I59" s="5" t="str">
        <f aca="false">IF(A59="","",A59+21)</f>
        <v/>
      </c>
      <c r="J59" s="18"/>
      <c r="K59" s="17" t="str">
        <f aca="true">IF(A59="","",IF(J59="Sí","Cerrado",IF(AND(H59&lt;&gt;"Sí",TODAY()&gt;=G59),"Repasar (1)",IF(AND(H59="Sí",TODAY()&gt;=I59),"Repasar (2)","En espera"))))</f>
        <v/>
      </c>
    </row>
    <row r="60" customFormat="false" ht="15" hidden="false" customHeight="false" outlineLevel="0" collapsed="false">
      <c r="A60" s="4"/>
      <c r="B60" s="18"/>
      <c r="C60" s="18"/>
      <c r="D60" s="18"/>
      <c r="E60" s="18"/>
      <c r="F60" s="18"/>
      <c r="G60" s="5" t="str">
        <f aca="false">IF(A60="","",A60+7)</f>
        <v/>
      </c>
      <c r="H60" s="18"/>
      <c r="I60" s="5" t="str">
        <f aca="false">IF(A60="","",A60+21)</f>
        <v/>
      </c>
      <c r="J60" s="18"/>
      <c r="K60" s="17" t="str">
        <f aca="true">IF(A60="","",IF(J60="Sí","Cerrado",IF(AND(H60&lt;&gt;"Sí",TODAY()&gt;=G60),"Repasar (1)",IF(AND(H60="Sí",TODAY()&gt;=I60),"Repasar (2)","En espera"))))</f>
        <v/>
      </c>
    </row>
    <row r="61" customFormat="false" ht="15" hidden="false" customHeight="false" outlineLevel="0" collapsed="false">
      <c r="A61" s="4"/>
      <c r="B61" s="18"/>
      <c r="C61" s="18"/>
      <c r="D61" s="18"/>
      <c r="E61" s="18"/>
      <c r="F61" s="18"/>
      <c r="G61" s="5" t="str">
        <f aca="false">IF(A61="","",A61+7)</f>
        <v/>
      </c>
      <c r="H61" s="18"/>
      <c r="I61" s="5" t="str">
        <f aca="false">IF(A61="","",A61+21)</f>
        <v/>
      </c>
      <c r="J61" s="18"/>
      <c r="K61" s="17" t="str">
        <f aca="true">IF(A61="","",IF(J61="Sí","Cerrado",IF(AND(H61&lt;&gt;"Sí",TODAY()&gt;=G61),"Repasar (1)",IF(AND(H61="Sí",TODAY()&gt;=I61),"Repasar (2)","En espera"))))</f>
        <v/>
      </c>
    </row>
    <row r="62" customFormat="false" ht="15" hidden="false" customHeight="false" outlineLevel="0" collapsed="false">
      <c r="A62" s="4"/>
      <c r="B62" s="18"/>
      <c r="C62" s="18"/>
      <c r="D62" s="18"/>
      <c r="E62" s="18"/>
      <c r="F62" s="18"/>
      <c r="G62" s="5" t="str">
        <f aca="false">IF(A62="","",A62+7)</f>
        <v/>
      </c>
      <c r="H62" s="18"/>
      <c r="I62" s="5" t="str">
        <f aca="false">IF(A62="","",A62+21)</f>
        <v/>
      </c>
      <c r="J62" s="18"/>
      <c r="K62" s="17" t="str">
        <f aca="true">IF(A62="","",IF(J62="Sí","Cerrado",IF(AND(H62&lt;&gt;"Sí",TODAY()&gt;=G62),"Repasar (1)",IF(AND(H62="Sí",TODAY()&gt;=I62),"Repasar (2)","En espera"))))</f>
        <v/>
      </c>
    </row>
    <row r="63" customFormat="false" ht="15" hidden="false" customHeight="false" outlineLevel="0" collapsed="false">
      <c r="A63" s="4"/>
      <c r="B63" s="18"/>
      <c r="C63" s="18"/>
      <c r="D63" s="18"/>
      <c r="E63" s="18"/>
      <c r="F63" s="18"/>
      <c r="G63" s="5" t="str">
        <f aca="false">IF(A63="","",A63+7)</f>
        <v/>
      </c>
      <c r="H63" s="18"/>
      <c r="I63" s="5" t="str">
        <f aca="false">IF(A63="","",A63+21)</f>
        <v/>
      </c>
      <c r="J63" s="18"/>
      <c r="K63" s="17" t="str">
        <f aca="true">IF(A63="","",IF(J63="Sí","Cerrado",IF(AND(H63&lt;&gt;"Sí",TODAY()&gt;=G63),"Repasar (1)",IF(AND(H63="Sí",TODAY()&gt;=I63),"Repasar (2)","En espera"))))</f>
        <v/>
      </c>
    </row>
    <row r="64" customFormat="false" ht="15" hidden="false" customHeight="false" outlineLevel="0" collapsed="false">
      <c r="A64" s="4"/>
      <c r="B64" s="18"/>
      <c r="C64" s="18"/>
      <c r="D64" s="18"/>
      <c r="E64" s="18"/>
      <c r="F64" s="18"/>
      <c r="G64" s="5" t="str">
        <f aca="false">IF(A64="","",A64+7)</f>
        <v/>
      </c>
      <c r="H64" s="18"/>
      <c r="I64" s="5" t="str">
        <f aca="false">IF(A64="","",A64+21)</f>
        <v/>
      </c>
      <c r="J64" s="18"/>
      <c r="K64" s="17" t="str">
        <f aca="true">IF(A64="","",IF(J64="Sí","Cerrado",IF(AND(H64&lt;&gt;"Sí",TODAY()&gt;=G64),"Repasar (1)",IF(AND(H64="Sí",TODAY()&gt;=I64),"Repasar (2)","En espera"))))</f>
        <v/>
      </c>
    </row>
    <row r="65" customFormat="false" ht="15" hidden="false" customHeight="false" outlineLevel="0" collapsed="false">
      <c r="A65" s="4"/>
      <c r="B65" s="18"/>
      <c r="C65" s="18"/>
      <c r="D65" s="18"/>
      <c r="E65" s="18"/>
      <c r="F65" s="18"/>
      <c r="G65" s="5" t="str">
        <f aca="false">IF(A65="","",A65+7)</f>
        <v/>
      </c>
      <c r="H65" s="18"/>
      <c r="I65" s="5" t="str">
        <f aca="false">IF(A65="","",A65+21)</f>
        <v/>
      </c>
      <c r="J65" s="18"/>
      <c r="K65" s="17" t="str">
        <f aca="true">IF(A65="","",IF(J65="Sí","Cerrado",IF(AND(H65&lt;&gt;"Sí",TODAY()&gt;=G65),"Repasar (1)",IF(AND(H65="Sí",TODAY()&gt;=I65),"Repasar (2)","En espera"))))</f>
        <v/>
      </c>
    </row>
    <row r="66" customFormat="false" ht="15" hidden="false" customHeight="false" outlineLevel="0" collapsed="false">
      <c r="A66" s="4"/>
      <c r="B66" s="18"/>
      <c r="C66" s="18"/>
      <c r="D66" s="18"/>
      <c r="E66" s="18"/>
      <c r="F66" s="18"/>
      <c r="G66" s="5" t="str">
        <f aca="false">IF(A66="","",A66+7)</f>
        <v/>
      </c>
      <c r="H66" s="18"/>
      <c r="I66" s="5" t="str">
        <f aca="false">IF(A66="","",A66+21)</f>
        <v/>
      </c>
      <c r="J66" s="18"/>
      <c r="K66" s="17" t="str">
        <f aca="true">IF(A66="","",IF(J66="Sí","Cerrado",IF(AND(H66&lt;&gt;"Sí",TODAY()&gt;=G66),"Repasar (1)",IF(AND(H66="Sí",TODAY()&gt;=I66),"Repasar (2)","En espera"))))</f>
        <v/>
      </c>
    </row>
    <row r="67" customFormat="false" ht="15" hidden="false" customHeight="false" outlineLevel="0" collapsed="false">
      <c r="A67" s="4"/>
      <c r="B67" s="18"/>
      <c r="C67" s="18"/>
      <c r="D67" s="18"/>
      <c r="E67" s="18"/>
      <c r="F67" s="18"/>
      <c r="G67" s="5" t="str">
        <f aca="false">IF(A67="","",A67+7)</f>
        <v/>
      </c>
      <c r="H67" s="18"/>
      <c r="I67" s="5" t="str">
        <f aca="false">IF(A67="","",A67+21)</f>
        <v/>
      </c>
      <c r="J67" s="18"/>
      <c r="K67" s="17" t="str">
        <f aca="true">IF(A67="","",IF(J67="Sí","Cerrado",IF(AND(H67&lt;&gt;"Sí",TODAY()&gt;=G67),"Repasar (1)",IF(AND(H67="Sí",TODAY()&gt;=I67),"Repasar (2)","En espera"))))</f>
        <v/>
      </c>
    </row>
    <row r="68" customFormat="false" ht="15" hidden="false" customHeight="false" outlineLevel="0" collapsed="false">
      <c r="A68" s="4"/>
      <c r="B68" s="18"/>
      <c r="C68" s="18"/>
      <c r="D68" s="18"/>
      <c r="E68" s="18"/>
      <c r="F68" s="18"/>
      <c r="G68" s="5" t="str">
        <f aca="false">IF(A68="","",A68+7)</f>
        <v/>
      </c>
      <c r="H68" s="18"/>
      <c r="I68" s="5" t="str">
        <f aca="false">IF(A68="","",A68+21)</f>
        <v/>
      </c>
      <c r="J68" s="18"/>
      <c r="K68" s="17" t="str">
        <f aca="true">IF(A68="","",IF(J68="Sí","Cerrado",IF(AND(H68&lt;&gt;"Sí",TODAY()&gt;=G68),"Repasar (1)",IF(AND(H68="Sí",TODAY()&gt;=I68),"Repasar (2)","En espera"))))</f>
        <v/>
      </c>
    </row>
    <row r="69" customFormat="false" ht="15" hidden="false" customHeight="false" outlineLevel="0" collapsed="false">
      <c r="A69" s="4"/>
      <c r="B69" s="18"/>
      <c r="C69" s="18"/>
      <c r="D69" s="18"/>
      <c r="E69" s="18"/>
      <c r="F69" s="18"/>
      <c r="G69" s="5" t="str">
        <f aca="false">IF(A69="","",A69+7)</f>
        <v/>
      </c>
      <c r="H69" s="18"/>
      <c r="I69" s="5" t="str">
        <f aca="false">IF(A69="","",A69+21)</f>
        <v/>
      </c>
      <c r="J69" s="18"/>
      <c r="K69" s="17" t="str">
        <f aca="true">IF(A69="","",IF(J69="Sí","Cerrado",IF(AND(H69&lt;&gt;"Sí",TODAY()&gt;=G69),"Repasar (1)",IF(AND(H69="Sí",TODAY()&gt;=I69),"Repasar (2)","En espera"))))</f>
        <v/>
      </c>
    </row>
    <row r="70" customFormat="false" ht="15" hidden="false" customHeight="false" outlineLevel="0" collapsed="false">
      <c r="A70" s="4"/>
      <c r="B70" s="18"/>
      <c r="C70" s="18"/>
      <c r="D70" s="18"/>
      <c r="E70" s="18"/>
      <c r="F70" s="18"/>
      <c r="G70" s="5" t="str">
        <f aca="false">IF(A70="","",A70+7)</f>
        <v/>
      </c>
      <c r="H70" s="18"/>
      <c r="I70" s="5" t="str">
        <f aca="false">IF(A70="","",A70+21)</f>
        <v/>
      </c>
      <c r="J70" s="18"/>
      <c r="K70" s="17" t="str">
        <f aca="true">IF(A70="","",IF(J70="Sí","Cerrado",IF(AND(H70&lt;&gt;"Sí",TODAY()&gt;=G70),"Repasar (1)",IF(AND(H70="Sí",TODAY()&gt;=I70),"Repasar (2)","En espera"))))</f>
        <v/>
      </c>
    </row>
    <row r="71" customFormat="false" ht="15" hidden="false" customHeight="false" outlineLevel="0" collapsed="false">
      <c r="A71" s="4"/>
      <c r="B71" s="18"/>
      <c r="C71" s="18"/>
      <c r="D71" s="18"/>
      <c r="E71" s="18"/>
      <c r="F71" s="18"/>
      <c r="G71" s="5" t="str">
        <f aca="false">IF(A71="","",A71+7)</f>
        <v/>
      </c>
      <c r="H71" s="18"/>
      <c r="I71" s="5" t="str">
        <f aca="false">IF(A71="","",A71+21)</f>
        <v/>
      </c>
      <c r="J71" s="18"/>
      <c r="K71" s="17" t="str">
        <f aca="true">IF(A71="","",IF(J71="Sí","Cerrado",IF(AND(H71&lt;&gt;"Sí",TODAY()&gt;=G71),"Repasar (1)",IF(AND(H71="Sí",TODAY()&gt;=I71),"Repasar (2)","En espera"))))</f>
        <v/>
      </c>
    </row>
    <row r="72" customFormat="false" ht="15" hidden="false" customHeight="false" outlineLevel="0" collapsed="false">
      <c r="A72" s="4"/>
      <c r="B72" s="18"/>
      <c r="C72" s="18"/>
      <c r="D72" s="18"/>
      <c r="E72" s="18"/>
      <c r="F72" s="18"/>
      <c r="G72" s="5" t="str">
        <f aca="false">IF(A72="","",A72+7)</f>
        <v/>
      </c>
      <c r="H72" s="18"/>
      <c r="I72" s="5" t="str">
        <f aca="false">IF(A72="","",A72+21)</f>
        <v/>
      </c>
      <c r="J72" s="18"/>
      <c r="K72" s="17" t="str">
        <f aca="true">IF(A72="","",IF(J72="Sí","Cerrado",IF(AND(H72&lt;&gt;"Sí",TODAY()&gt;=G72),"Repasar (1)",IF(AND(H72="Sí",TODAY()&gt;=I72),"Repasar (2)","En espera"))))</f>
        <v/>
      </c>
    </row>
    <row r="73" customFormat="false" ht="15" hidden="false" customHeight="false" outlineLevel="0" collapsed="false">
      <c r="A73" s="4"/>
      <c r="B73" s="18"/>
      <c r="C73" s="18"/>
      <c r="D73" s="18"/>
      <c r="E73" s="18"/>
      <c r="F73" s="18"/>
      <c r="G73" s="5" t="str">
        <f aca="false">IF(A73="","",A73+7)</f>
        <v/>
      </c>
      <c r="H73" s="18"/>
      <c r="I73" s="5" t="str">
        <f aca="false">IF(A73="","",A73+21)</f>
        <v/>
      </c>
      <c r="J73" s="18"/>
      <c r="K73" s="17" t="str">
        <f aca="true">IF(A73="","",IF(J73="Sí","Cerrado",IF(AND(H73&lt;&gt;"Sí",TODAY()&gt;=G73),"Repasar (1)",IF(AND(H73="Sí",TODAY()&gt;=I73),"Repasar (2)","En espera"))))</f>
        <v/>
      </c>
    </row>
    <row r="74" customFormat="false" ht="15" hidden="false" customHeight="false" outlineLevel="0" collapsed="false">
      <c r="A74" s="4"/>
      <c r="B74" s="18"/>
      <c r="C74" s="18"/>
      <c r="D74" s="18"/>
      <c r="E74" s="18"/>
      <c r="F74" s="18"/>
      <c r="G74" s="5" t="str">
        <f aca="false">IF(A74="","",A74+7)</f>
        <v/>
      </c>
      <c r="H74" s="18"/>
      <c r="I74" s="5" t="str">
        <f aca="false">IF(A74="","",A74+21)</f>
        <v/>
      </c>
      <c r="J74" s="18"/>
      <c r="K74" s="17" t="str">
        <f aca="true">IF(A74="","",IF(J74="Sí","Cerrado",IF(AND(H74&lt;&gt;"Sí",TODAY()&gt;=G74),"Repasar (1)",IF(AND(H74="Sí",TODAY()&gt;=I74),"Repasar (2)","En espera"))))</f>
        <v/>
      </c>
    </row>
    <row r="75" customFormat="false" ht="15" hidden="false" customHeight="false" outlineLevel="0" collapsed="false">
      <c r="A75" s="4"/>
      <c r="B75" s="18"/>
      <c r="C75" s="18"/>
      <c r="D75" s="18"/>
      <c r="E75" s="18"/>
      <c r="F75" s="18"/>
      <c r="G75" s="5" t="str">
        <f aca="false">IF(A75="","",A75+7)</f>
        <v/>
      </c>
      <c r="H75" s="18"/>
      <c r="I75" s="5" t="str">
        <f aca="false">IF(A75="","",A75+21)</f>
        <v/>
      </c>
      <c r="J75" s="18"/>
      <c r="K75" s="17" t="str">
        <f aca="true">IF(A75="","",IF(J75="Sí","Cerrado",IF(AND(H75&lt;&gt;"Sí",TODAY()&gt;=G75),"Repasar (1)",IF(AND(H75="Sí",TODAY()&gt;=I75),"Repasar (2)","En espera"))))</f>
        <v/>
      </c>
    </row>
    <row r="76" customFormat="false" ht="15" hidden="false" customHeight="false" outlineLevel="0" collapsed="false">
      <c r="A76" s="4"/>
      <c r="B76" s="18"/>
      <c r="C76" s="18"/>
      <c r="D76" s="18"/>
      <c r="E76" s="18"/>
      <c r="F76" s="18"/>
      <c r="G76" s="5" t="str">
        <f aca="false">IF(A76="","",A76+7)</f>
        <v/>
      </c>
      <c r="H76" s="18"/>
      <c r="I76" s="5" t="str">
        <f aca="false">IF(A76="","",A76+21)</f>
        <v/>
      </c>
      <c r="J76" s="18"/>
      <c r="K76" s="17" t="str">
        <f aca="true">IF(A76="","",IF(J76="Sí","Cerrado",IF(AND(H76&lt;&gt;"Sí",TODAY()&gt;=G76),"Repasar (1)",IF(AND(H76="Sí",TODAY()&gt;=I76),"Repasar (2)","En espera"))))</f>
        <v/>
      </c>
    </row>
    <row r="77" customFormat="false" ht="15" hidden="false" customHeight="false" outlineLevel="0" collapsed="false">
      <c r="A77" s="4"/>
      <c r="B77" s="18"/>
      <c r="C77" s="18"/>
      <c r="D77" s="18"/>
      <c r="E77" s="18"/>
      <c r="F77" s="18"/>
      <c r="G77" s="5" t="str">
        <f aca="false">IF(A77="","",A77+7)</f>
        <v/>
      </c>
      <c r="H77" s="18"/>
      <c r="I77" s="5" t="str">
        <f aca="false">IF(A77="","",A77+21)</f>
        <v/>
      </c>
      <c r="J77" s="18"/>
      <c r="K77" s="17" t="str">
        <f aca="true">IF(A77="","",IF(J77="Sí","Cerrado",IF(AND(H77&lt;&gt;"Sí",TODAY()&gt;=G77),"Repasar (1)",IF(AND(H77="Sí",TODAY()&gt;=I77),"Repasar (2)","En espera"))))</f>
        <v/>
      </c>
    </row>
    <row r="78" customFormat="false" ht="15" hidden="false" customHeight="false" outlineLevel="0" collapsed="false">
      <c r="A78" s="4"/>
      <c r="B78" s="18"/>
      <c r="C78" s="18"/>
      <c r="D78" s="18"/>
      <c r="E78" s="18"/>
      <c r="F78" s="18"/>
      <c r="G78" s="5" t="str">
        <f aca="false">IF(A78="","",A78+7)</f>
        <v/>
      </c>
      <c r="H78" s="18"/>
      <c r="I78" s="5" t="str">
        <f aca="false">IF(A78="","",A78+21)</f>
        <v/>
      </c>
      <c r="J78" s="18"/>
      <c r="K78" s="17" t="str">
        <f aca="true">IF(A78="","",IF(J78="Sí","Cerrado",IF(AND(H78&lt;&gt;"Sí",TODAY()&gt;=G78),"Repasar (1)",IF(AND(H78="Sí",TODAY()&gt;=I78),"Repasar (2)","En espera"))))</f>
        <v/>
      </c>
    </row>
    <row r="79" customFormat="false" ht="15" hidden="false" customHeight="false" outlineLevel="0" collapsed="false">
      <c r="A79" s="4"/>
      <c r="B79" s="18"/>
      <c r="C79" s="18"/>
      <c r="D79" s="18"/>
      <c r="E79" s="18"/>
      <c r="F79" s="18"/>
      <c r="G79" s="5" t="str">
        <f aca="false">IF(A79="","",A79+7)</f>
        <v/>
      </c>
      <c r="H79" s="18"/>
      <c r="I79" s="5" t="str">
        <f aca="false">IF(A79="","",A79+21)</f>
        <v/>
      </c>
      <c r="J79" s="18"/>
      <c r="K79" s="17" t="str">
        <f aca="true">IF(A79="","",IF(J79="Sí","Cerrado",IF(AND(H79&lt;&gt;"Sí",TODAY()&gt;=G79),"Repasar (1)",IF(AND(H79="Sí",TODAY()&gt;=I79),"Repasar (2)","En espera"))))</f>
        <v/>
      </c>
    </row>
    <row r="80" customFormat="false" ht="15" hidden="false" customHeight="false" outlineLevel="0" collapsed="false">
      <c r="A80" s="4"/>
      <c r="B80" s="18"/>
      <c r="C80" s="18"/>
      <c r="D80" s="18"/>
      <c r="E80" s="18"/>
      <c r="F80" s="18"/>
      <c r="G80" s="5" t="str">
        <f aca="false">IF(A80="","",A80+7)</f>
        <v/>
      </c>
      <c r="H80" s="18"/>
      <c r="I80" s="5" t="str">
        <f aca="false">IF(A80="","",A80+21)</f>
        <v/>
      </c>
      <c r="J80" s="18"/>
      <c r="K80" s="17" t="str">
        <f aca="true">IF(A80="","",IF(J80="Sí","Cerrado",IF(AND(H80&lt;&gt;"Sí",TODAY()&gt;=G80),"Repasar (1)",IF(AND(H80="Sí",TODAY()&gt;=I80),"Repasar (2)","En espera"))))</f>
        <v/>
      </c>
    </row>
    <row r="81" customFormat="false" ht="15" hidden="false" customHeight="false" outlineLevel="0" collapsed="false">
      <c r="A81" s="4"/>
      <c r="B81" s="18"/>
      <c r="C81" s="18"/>
      <c r="D81" s="18"/>
      <c r="E81" s="18"/>
      <c r="F81" s="18"/>
      <c r="G81" s="5" t="str">
        <f aca="false">IF(A81="","",A81+7)</f>
        <v/>
      </c>
      <c r="H81" s="18"/>
      <c r="I81" s="5" t="str">
        <f aca="false">IF(A81="","",A81+21)</f>
        <v/>
      </c>
      <c r="J81" s="18"/>
      <c r="K81" s="17" t="str">
        <f aca="true">IF(A81="","",IF(J81="Sí","Cerrado",IF(AND(H81&lt;&gt;"Sí",TODAY()&gt;=G81),"Repasar (1)",IF(AND(H81="Sí",TODAY()&gt;=I81),"Repasar (2)","En espera"))))</f>
        <v/>
      </c>
    </row>
    <row r="82" customFormat="false" ht="15" hidden="false" customHeight="false" outlineLevel="0" collapsed="false">
      <c r="A82" s="4"/>
      <c r="B82" s="18"/>
      <c r="C82" s="18"/>
      <c r="D82" s="18"/>
      <c r="E82" s="18"/>
      <c r="F82" s="18"/>
      <c r="G82" s="5" t="str">
        <f aca="false">IF(A82="","",A82+7)</f>
        <v/>
      </c>
      <c r="H82" s="18"/>
      <c r="I82" s="5" t="str">
        <f aca="false">IF(A82="","",A82+21)</f>
        <v/>
      </c>
      <c r="J82" s="18"/>
      <c r="K82" s="17" t="str">
        <f aca="true">IF(A82="","",IF(J82="Sí","Cerrado",IF(AND(H82&lt;&gt;"Sí",TODAY()&gt;=G82),"Repasar (1)",IF(AND(H82="Sí",TODAY()&gt;=I82),"Repasar (2)","En espera"))))</f>
        <v/>
      </c>
    </row>
    <row r="83" customFormat="false" ht="15" hidden="false" customHeight="false" outlineLevel="0" collapsed="false">
      <c r="A83" s="4"/>
      <c r="B83" s="18"/>
      <c r="C83" s="18"/>
      <c r="D83" s="18"/>
      <c r="E83" s="18"/>
      <c r="F83" s="18"/>
      <c r="G83" s="5" t="str">
        <f aca="false">IF(A83="","",A83+7)</f>
        <v/>
      </c>
      <c r="H83" s="18"/>
      <c r="I83" s="5" t="str">
        <f aca="false">IF(A83="","",A83+21)</f>
        <v/>
      </c>
      <c r="J83" s="18"/>
      <c r="K83" s="17" t="str">
        <f aca="true">IF(A83="","",IF(J83="Sí","Cerrado",IF(AND(H83&lt;&gt;"Sí",TODAY()&gt;=G83),"Repasar (1)",IF(AND(H83="Sí",TODAY()&gt;=I83),"Repasar (2)","En espera"))))</f>
        <v/>
      </c>
    </row>
    <row r="84" customFormat="false" ht="15" hidden="false" customHeight="false" outlineLevel="0" collapsed="false">
      <c r="A84" s="4"/>
      <c r="B84" s="18"/>
      <c r="C84" s="18"/>
      <c r="D84" s="18"/>
      <c r="E84" s="18"/>
      <c r="F84" s="18"/>
      <c r="G84" s="5" t="str">
        <f aca="false">IF(A84="","",A84+7)</f>
        <v/>
      </c>
      <c r="H84" s="18"/>
      <c r="I84" s="5" t="str">
        <f aca="false">IF(A84="","",A84+21)</f>
        <v/>
      </c>
      <c r="J84" s="18"/>
      <c r="K84" s="17" t="str">
        <f aca="true">IF(A84="","",IF(J84="Sí","Cerrado",IF(AND(H84&lt;&gt;"Sí",TODAY()&gt;=G84),"Repasar (1)",IF(AND(H84="Sí",TODAY()&gt;=I84),"Repasar (2)","En espera"))))</f>
        <v/>
      </c>
    </row>
    <row r="85" customFormat="false" ht="15" hidden="false" customHeight="false" outlineLevel="0" collapsed="false">
      <c r="A85" s="4"/>
      <c r="B85" s="18"/>
      <c r="C85" s="18"/>
      <c r="D85" s="18"/>
      <c r="E85" s="18"/>
      <c r="F85" s="18"/>
      <c r="G85" s="5" t="str">
        <f aca="false">IF(A85="","",A85+7)</f>
        <v/>
      </c>
      <c r="H85" s="18"/>
      <c r="I85" s="5" t="str">
        <f aca="false">IF(A85="","",A85+21)</f>
        <v/>
      </c>
      <c r="J85" s="18"/>
      <c r="K85" s="17" t="str">
        <f aca="true">IF(A85="","",IF(J85="Sí","Cerrado",IF(AND(H85&lt;&gt;"Sí",TODAY()&gt;=G85),"Repasar (1)",IF(AND(H85="Sí",TODAY()&gt;=I85),"Repasar (2)","En espera"))))</f>
        <v/>
      </c>
    </row>
    <row r="86" customFormat="false" ht="15" hidden="false" customHeight="false" outlineLevel="0" collapsed="false">
      <c r="A86" s="4"/>
      <c r="B86" s="18"/>
      <c r="C86" s="18"/>
      <c r="D86" s="18"/>
      <c r="E86" s="18"/>
      <c r="F86" s="18"/>
      <c r="G86" s="5" t="str">
        <f aca="false">IF(A86="","",A86+7)</f>
        <v/>
      </c>
      <c r="H86" s="18"/>
      <c r="I86" s="5" t="str">
        <f aca="false">IF(A86="","",A86+21)</f>
        <v/>
      </c>
      <c r="J86" s="18"/>
      <c r="K86" s="17" t="str">
        <f aca="true">IF(A86="","",IF(J86="Sí","Cerrado",IF(AND(H86&lt;&gt;"Sí",TODAY()&gt;=G86),"Repasar (1)",IF(AND(H86="Sí",TODAY()&gt;=I86),"Repasar (2)","En espera"))))</f>
        <v/>
      </c>
    </row>
    <row r="87" customFormat="false" ht="15" hidden="false" customHeight="false" outlineLevel="0" collapsed="false">
      <c r="A87" s="4"/>
      <c r="B87" s="18"/>
      <c r="C87" s="18"/>
      <c r="D87" s="18"/>
      <c r="E87" s="18"/>
      <c r="F87" s="18"/>
      <c r="G87" s="5" t="str">
        <f aca="false">IF(A87="","",A87+7)</f>
        <v/>
      </c>
      <c r="H87" s="18"/>
      <c r="I87" s="5" t="str">
        <f aca="false">IF(A87="","",A87+21)</f>
        <v/>
      </c>
      <c r="J87" s="18"/>
      <c r="K87" s="17" t="str">
        <f aca="true">IF(A87="","",IF(J87="Sí","Cerrado",IF(AND(H87&lt;&gt;"Sí",TODAY()&gt;=G87),"Repasar (1)",IF(AND(H87="Sí",TODAY()&gt;=I87),"Repasar (2)","En espera"))))</f>
        <v/>
      </c>
    </row>
    <row r="88" customFormat="false" ht="15" hidden="false" customHeight="false" outlineLevel="0" collapsed="false">
      <c r="A88" s="4"/>
      <c r="B88" s="18"/>
      <c r="C88" s="18"/>
      <c r="D88" s="18"/>
      <c r="E88" s="18"/>
      <c r="F88" s="18"/>
      <c r="G88" s="5" t="str">
        <f aca="false">IF(A88="","",A88+7)</f>
        <v/>
      </c>
      <c r="H88" s="18"/>
      <c r="I88" s="5" t="str">
        <f aca="false">IF(A88="","",A88+21)</f>
        <v/>
      </c>
      <c r="J88" s="18"/>
      <c r="K88" s="17" t="str">
        <f aca="true">IF(A88="","",IF(J88="Sí","Cerrado",IF(AND(H88&lt;&gt;"Sí",TODAY()&gt;=G88),"Repasar (1)",IF(AND(H88="Sí",TODAY()&gt;=I88),"Repasar (2)","En espera"))))</f>
        <v/>
      </c>
    </row>
    <row r="89" customFormat="false" ht="15" hidden="false" customHeight="false" outlineLevel="0" collapsed="false">
      <c r="A89" s="4"/>
      <c r="B89" s="18"/>
      <c r="C89" s="18"/>
      <c r="D89" s="18"/>
      <c r="E89" s="18"/>
      <c r="F89" s="18"/>
      <c r="G89" s="5" t="str">
        <f aca="false">IF(A89="","",A89+7)</f>
        <v/>
      </c>
      <c r="H89" s="18"/>
      <c r="I89" s="5" t="str">
        <f aca="false">IF(A89="","",A89+21)</f>
        <v/>
      </c>
      <c r="J89" s="18"/>
      <c r="K89" s="17" t="str">
        <f aca="true">IF(A89="","",IF(J89="Sí","Cerrado",IF(AND(H89&lt;&gt;"Sí",TODAY()&gt;=G89),"Repasar (1)",IF(AND(H89="Sí",TODAY()&gt;=I89),"Repasar (2)","En espera"))))</f>
        <v/>
      </c>
    </row>
    <row r="90" customFormat="false" ht="15" hidden="false" customHeight="false" outlineLevel="0" collapsed="false">
      <c r="A90" s="4"/>
      <c r="B90" s="18"/>
      <c r="C90" s="18"/>
      <c r="D90" s="18"/>
      <c r="E90" s="18"/>
      <c r="F90" s="18"/>
      <c r="G90" s="5" t="str">
        <f aca="false">IF(A90="","",A90+7)</f>
        <v/>
      </c>
      <c r="H90" s="18"/>
      <c r="I90" s="5" t="str">
        <f aca="false">IF(A90="","",A90+21)</f>
        <v/>
      </c>
      <c r="J90" s="18"/>
      <c r="K90" s="17" t="str">
        <f aca="true">IF(A90="","",IF(J90="Sí","Cerrado",IF(AND(H90&lt;&gt;"Sí",TODAY()&gt;=G90),"Repasar (1)",IF(AND(H90="Sí",TODAY()&gt;=I90),"Repasar (2)","En espera"))))</f>
        <v/>
      </c>
    </row>
    <row r="91" customFormat="false" ht="15" hidden="false" customHeight="false" outlineLevel="0" collapsed="false">
      <c r="A91" s="4"/>
      <c r="B91" s="18"/>
      <c r="C91" s="18"/>
      <c r="D91" s="18"/>
      <c r="E91" s="18"/>
      <c r="F91" s="18"/>
      <c r="G91" s="5" t="str">
        <f aca="false">IF(A91="","",A91+7)</f>
        <v/>
      </c>
      <c r="H91" s="18"/>
      <c r="I91" s="5" t="str">
        <f aca="false">IF(A91="","",A91+21)</f>
        <v/>
      </c>
      <c r="J91" s="18"/>
      <c r="K91" s="17" t="str">
        <f aca="true">IF(A91="","",IF(J91="Sí","Cerrado",IF(AND(H91&lt;&gt;"Sí",TODAY()&gt;=G91),"Repasar (1)",IF(AND(H91="Sí",TODAY()&gt;=I91),"Repasar (2)","En espera"))))</f>
        <v/>
      </c>
    </row>
    <row r="92" customFormat="false" ht="15" hidden="false" customHeight="false" outlineLevel="0" collapsed="false">
      <c r="A92" s="4"/>
      <c r="B92" s="18"/>
      <c r="C92" s="18"/>
      <c r="D92" s="18"/>
      <c r="E92" s="18"/>
      <c r="F92" s="18"/>
      <c r="G92" s="5" t="str">
        <f aca="false">IF(A92="","",A92+7)</f>
        <v/>
      </c>
      <c r="H92" s="18"/>
      <c r="I92" s="5" t="str">
        <f aca="false">IF(A92="","",A92+21)</f>
        <v/>
      </c>
      <c r="J92" s="18"/>
      <c r="K92" s="17" t="str">
        <f aca="true">IF(A92="","",IF(J92="Sí","Cerrado",IF(AND(H92&lt;&gt;"Sí",TODAY()&gt;=G92),"Repasar (1)",IF(AND(H92="Sí",TODAY()&gt;=I92),"Repasar (2)","En espera"))))</f>
        <v/>
      </c>
    </row>
    <row r="93" customFormat="false" ht="15" hidden="false" customHeight="false" outlineLevel="0" collapsed="false">
      <c r="A93" s="4"/>
      <c r="B93" s="18"/>
      <c r="C93" s="18"/>
      <c r="D93" s="18"/>
      <c r="E93" s="18"/>
      <c r="F93" s="18"/>
      <c r="G93" s="5" t="str">
        <f aca="false">IF(A93="","",A93+7)</f>
        <v/>
      </c>
      <c r="H93" s="18"/>
      <c r="I93" s="5" t="str">
        <f aca="false">IF(A93="","",A93+21)</f>
        <v/>
      </c>
      <c r="J93" s="18"/>
      <c r="K93" s="17" t="str">
        <f aca="true">IF(A93="","",IF(J93="Sí","Cerrado",IF(AND(H93&lt;&gt;"Sí",TODAY()&gt;=G93),"Repasar (1)",IF(AND(H93="Sí",TODAY()&gt;=I93),"Repasar (2)","En espera"))))</f>
        <v/>
      </c>
    </row>
    <row r="94" customFormat="false" ht="15" hidden="false" customHeight="false" outlineLevel="0" collapsed="false">
      <c r="A94" s="4"/>
      <c r="B94" s="18"/>
      <c r="C94" s="18"/>
      <c r="D94" s="18"/>
      <c r="E94" s="18"/>
      <c r="F94" s="18"/>
      <c r="G94" s="5" t="str">
        <f aca="false">IF(A94="","",A94+7)</f>
        <v/>
      </c>
      <c r="H94" s="18"/>
      <c r="I94" s="5" t="str">
        <f aca="false">IF(A94="","",A94+21)</f>
        <v/>
      </c>
      <c r="J94" s="18"/>
      <c r="K94" s="17" t="str">
        <f aca="true">IF(A94="","",IF(J94="Sí","Cerrado",IF(AND(H94&lt;&gt;"Sí",TODAY()&gt;=G94),"Repasar (1)",IF(AND(H94="Sí",TODAY()&gt;=I94),"Repasar (2)","En espera"))))</f>
        <v/>
      </c>
    </row>
    <row r="95" customFormat="false" ht="15" hidden="false" customHeight="false" outlineLevel="0" collapsed="false">
      <c r="A95" s="4"/>
      <c r="B95" s="18"/>
      <c r="C95" s="18"/>
      <c r="D95" s="18"/>
      <c r="E95" s="18"/>
      <c r="F95" s="18"/>
      <c r="G95" s="5" t="str">
        <f aca="false">IF(A95="","",A95+7)</f>
        <v/>
      </c>
      <c r="H95" s="18"/>
      <c r="I95" s="5" t="str">
        <f aca="false">IF(A95="","",A95+21)</f>
        <v/>
      </c>
      <c r="J95" s="18"/>
      <c r="K95" s="17" t="str">
        <f aca="true">IF(A95="","",IF(J95="Sí","Cerrado",IF(AND(H95&lt;&gt;"Sí",TODAY()&gt;=G95),"Repasar (1)",IF(AND(H95="Sí",TODAY()&gt;=I95),"Repasar (2)","En espera"))))</f>
        <v/>
      </c>
    </row>
    <row r="96" customFormat="false" ht="15" hidden="false" customHeight="false" outlineLevel="0" collapsed="false">
      <c r="A96" s="4"/>
      <c r="B96" s="18"/>
      <c r="C96" s="18"/>
      <c r="D96" s="18"/>
      <c r="E96" s="18"/>
      <c r="F96" s="18"/>
      <c r="G96" s="5" t="str">
        <f aca="false">IF(A96="","",A96+7)</f>
        <v/>
      </c>
      <c r="H96" s="18"/>
      <c r="I96" s="5" t="str">
        <f aca="false">IF(A96="","",A96+21)</f>
        <v/>
      </c>
      <c r="J96" s="18"/>
      <c r="K96" s="17" t="str">
        <f aca="true">IF(A96="","",IF(J96="Sí","Cerrado",IF(AND(H96&lt;&gt;"Sí",TODAY()&gt;=G96),"Repasar (1)",IF(AND(H96="Sí",TODAY()&gt;=I96),"Repasar (2)","En espera"))))</f>
        <v/>
      </c>
    </row>
    <row r="97" customFormat="false" ht="15" hidden="false" customHeight="false" outlineLevel="0" collapsed="false">
      <c r="A97" s="4"/>
      <c r="B97" s="18"/>
      <c r="C97" s="18"/>
      <c r="D97" s="18"/>
      <c r="E97" s="18"/>
      <c r="F97" s="18"/>
      <c r="G97" s="5" t="str">
        <f aca="false">IF(A97="","",A97+7)</f>
        <v/>
      </c>
      <c r="H97" s="18"/>
      <c r="I97" s="5" t="str">
        <f aca="false">IF(A97="","",A97+21)</f>
        <v/>
      </c>
      <c r="J97" s="18"/>
      <c r="K97" s="17" t="str">
        <f aca="true">IF(A97="","",IF(J97="Sí","Cerrado",IF(AND(H97&lt;&gt;"Sí",TODAY()&gt;=G97),"Repasar (1)",IF(AND(H97="Sí",TODAY()&gt;=I97),"Repasar (2)","En espera"))))</f>
        <v/>
      </c>
    </row>
    <row r="98" customFormat="false" ht="15" hidden="false" customHeight="false" outlineLevel="0" collapsed="false">
      <c r="A98" s="4"/>
      <c r="B98" s="18"/>
      <c r="C98" s="18"/>
      <c r="D98" s="18"/>
      <c r="E98" s="18"/>
      <c r="F98" s="18"/>
      <c r="G98" s="5" t="str">
        <f aca="false">IF(A98="","",A98+7)</f>
        <v/>
      </c>
      <c r="H98" s="18"/>
      <c r="I98" s="5" t="str">
        <f aca="false">IF(A98="","",A98+21)</f>
        <v/>
      </c>
      <c r="J98" s="18"/>
      <c r="K98" s="17" t="str">
        <f aca="true">IF(A98="","",IF(J98="Sí","Cerrado",IF(AND(H98&lt;&gt;"Sí",TODAY()&gt;=G98),"Repasar (1)",IF(AND(H98="Sí",TODAY()&gt;=I98),"Repasar (2)","En espera"))))</f>
        <v/>
      </c>
    </row>
    <row r="99" customFormat="false" ht="15" hidden="false" customHeight="false" outlineLevel="0" collapsed="false">
      <c r="A99" s="4"/>
      <c r="B99" s="18"/>
      <c r="C99" s="18"/>
      <c r="D99" s="18"/>
      <c r="E99" s="18"/>
      <c r="F99" s="18"/>
      <c r="G99" s="5" t="str">
        <f aca="false">IF(A99="","",A99+7)</f>
        <v/>
      </c>
      <c r="H99" s="18"/>
      <c r="I99" s="5" t="str">
        <f aca="false">IF(A99="","",A99+21)</f>
        <v/>
      </c>
      <c r="J99" s="18"/>
      <c r="K99" s="17" t="str">
        <f aca="true">IF(A99="","",IF(J99="Sí","Cerrado",IF(AND(H99&lt;&gt;"Sí",TODAY()&gt;=G99),"Repasar (1)",IF(AND(H99="Sí",TODAY()&gt;=I99),"Repasar (2)","En espera"))))</f>
        <v/>
      </c>
    </row>
    <row r="100" customFormat="false" ht="15" hidden="false" customHeight="false" outlineLevel="0" collapsed="false">
      <c r="A100" s="4"/>
      <c r="B100" s="18"/>
      <c r="C100" s="18"/>
      <c r="D100" s="18"/>
      <c r="E100" s="18"/>
      <c r="F100" s="18"/>
      <c r="G100" s="5" t="str">
        <f aca="false">IF(A100="","",A100+7)</f>
        <v/>
      </c>
      <c r="H100" s="18"/>
      <c r="I100" s="5" t="str">
        <f aca="false">IF(A100="","",A100+21)</f>
        <v/>
      </c>
      <c r="J100" s="18"/>
      <c r="K100" s="17" t="str">
        <f aca="true">IF(A100="","",IF(J100="Sí","Cerrado",IF(AND(H100&lt;&gt;"Sí",TODAY()&gt;=G100),"Repasar (1)",IF(AND(H100="Sí",TODAY()&gt;=I100),"Repasar (2)","En espera"))))</f>
        <v/>
      </c>
    </row>
    <row r="101" customFormat="false" ht="15" hidden="false" customHeight="false" outlineLevel="0" collapsed="false">
      <c r="A101" s="4"/>
      <c r="B101" s="18"/>
      <c r="C101" s="18"/>
      <c r="D101" s="18"/>
      <c r="E101" s="18"/>
      <c r="F101" s="18"/>
      <c r="G101" s="5" t="str">
        <f aca="false">IF(A101="","",A101+7)</f>
        <v/>
      </c>
      <c r="H101" s="18"/>
      <c r="I101" s="5" t="str">
        <f aca="false">IF(A101="","",A101+21)</f>
        <v/>
      </c>
      <c r="J101" s="18"/>
      <c r="K101" s="17" t="str">
        <f aca="true">IF(A101="","",IF(J101="Sí","Cerrado",IF(AND(H101&lt;&gt;"Sí",TODAY()&gt;=G101),"Repasar (1)",IF(AND(H101="Sí",TODAY()&gt;=I101),"Repasar (2)","En espera"))))</f>
        <v/>
      </c>
    </row>
    <row r="102" customFormat="false" ht="15" hidden="false" customHeight="false" outlineLevel="0" collapsed="false">
      <c r="A102" s="4"/>
      <c r="B102" s="18"/>
      <c r="C102" s="18"/>
      <c r="D102" s="18"/>
      <c r="E102" s="18"/>
      <c r="F102" s="18"/>
      <c r="G102" s="5" t="str">
        <f aca="false">IF(A102="","",A102+7)</f>
        <v/>
      </c>
      <c r="H102" s="18"/>
      <c r="I102" s="5" t="str">
        <f aca="false">IF(A102="","",A102+21)</f>
        <v/>
      </c>
      <c r="J102" s="18"/>
      <c r="K102" s="17" t="str">
        <f aca="true">IF(A102="","",IF(J102="Sí","Cerrado",IF(AND(H102&lt;&gt;"Sí",TODAY()&gt;=G102),"Repasar (1)",IF(AND(H102="Sí",TODAY()&gt;=I102),"Repasar (2)","En espera"))))</f>
        <v/>
      </c>
    </row>
    <row r="103" customFormat="false" ht="15" hidden="false" customHeight="false" outlineLevel="0" collapsed="false">
      <c r="A103" s="4"/>
      <c r="B103" s="18"/>
      <c r="C103" s="18"/>
      <c r="D103" s="18"/>
      <c r="E103" s="18"/>
      <c r="F103" s="18"/>
      <c r="G103" s="5" t="str">
        <f aca="false">IF(A103="","",A103+7)</f>
        <v/>
      </c>
      <c r="H103" s="18"/>
      <c r="I103" s="5" t="str">
        <f aca="false">IF(A103="","",A103+21)</f>
        <v/>
      </c>
      <c r="J103" s="18"/>
      <c r="K103" s="17" t="str">
        <f aca="true">IF(A103="","",IF(J103="Sí","Cerrado",IF(AND(H103&lt;&gt;"Sí",TODAY()&gt;=G103),"Repasar (1)",IF(AND(H103="Sí",TODAY()&gt;=I103),"Repasar (2)","En espera"))))</f>
        <v/>
      </c>
    </row>
    <row r="104" customFormat="false" ht="15" hidden="false" customHeight="false" outlineLevel="0" collapsed="false">
      <c r="A104" s="4"/>
      <c r="B104" s="18"/>
      <c r="C104" s="18"/>
      <c r="D104" s="18"/>
      <c r="E104" s="18"/>
      <c r="F104" s="18"/>
      <c r="G104" s="5" t="str">
        <f aca="false">IF(A104="","",A104+7)</f>
        <v/>
      </c>
      <c r="H104" s="18"/>
      <c r="I104" s="5" t="str">
        <f aca="false">IF(A104="","",A104+21)</f>
        <v/>
      </c>
      <c r="J104" s="18"/>
      <c r="K104" s="17" t="str">
        <f aca="true">IF(A104="","",IF(J104="Sí","Cerrado",IF(AND(H104&lt;&gt;"Sí",TODAY()&gt;=G104),"Repasar (1)",IF(AND(H104="Sí",TODAY()&gt;=I104),"Repasar (2)","En espera"))))</f>
        <v/>
      </c>
    </row>
    <row r="105" customFormat="false" ht="15" hidden="false" customHeight="false" outlineLevel="0" collapsed="false">
      <c r="A105" s="4"/>
      <c r="B105" s="18"/>
      <c r="C105" s="18"/>
      <c r="D105" s="18"/>
      <c r="E105" s="18"/>
      <c r="F105" s="18"/>
      <c r="G105" s="5" t="str">
        <f aca="false">IF(A105="","",A105+7)</f>
        <v/>
      </c>
      <c r="H105" s="18"/>
      <c r="I105" s="5" t="str">
        <f aca="false">IF(A105="","",A105+21)</f>
        <v/>
      </c>
      <c r="J105" s="18"/>
      <c r="K105" s="17" t="str">
        <f aca="true">IF(A105="","",IF(J105="Sí","Cerrado",IF(AND(H105&lt;&gt;"Sí",TODAY()&gt;=G105),"Repasar (1)",IF(AND(H105="Sí",TODAY()&gt;=I105),"Repasar (2)","En espera"))))</f>
        <v/>
      </c>
    </row>
    <row r="106" customFormat="false" ht="15" hidden="false" customHeight="false" outlineLevel="0" collapsed="false">
      <c r="A106" s="4"/>
      <c r="B106" s="18"/>
      <c r="C106" s="18"/>
      <c r="D106" s="18"/>
      <c r="E106" s="18"/>
      <c r="F106" s="18"/>
      <c r="G106" s="5" t="str">
        <f aca="false">IF(A106="","",A106+7)</f>
        <v/>
      </c>
      <c r="H106" s="18"/>
      <c r="I106" s="5" t="str">
        <f aca="false">IF(A106="","",A106+21)</f>
        <v/>
      </c>
      <c r="J106" s="18"/>
      <c r="K106" s="17" t="str">
        <f aca="true">IF(A106="","",IF(J106="Sí","Cerrado",IF(AND(H106&lt;&gt;"Sí",TODAY()&gt;=G106),"Repasar (1)",IF(AND(H106="Sí",TODAY()&gt;=I106),"Repasar (2)","En espera"))))</f>
        <v/>
      </c>
    </row>
    <row r="107" customFormat="false" ht="15" hidden="false" customHeight="false" outlineLevel="0" collapsed="false">
      <c r="A107" s="4"/>
      <c r="B107" s="18"/>
      <c r="C107" s="18"/>
      <c r="D107" s="18"/>
      <c r="E107" s="18"/>
      <c r="F107" s="18"/>
      <c r="G107" s="5" t="str">
        <f aca="false">IF(A107="","",A107+7)</f>
        <v/>
      </c>
      <c r="H107" s="18"/>
      <c r="I107" s="5" t="str">
        <f aca="false">IF(A107="","",A107+21)</f>
        <v/>
      </c>
      <c r="J107" s="18"/>
      <c r="K107" s="17" t="str">
        <f aca="true">IF(A107="","",IF(J107="Sí","Cerrado",IF(AND(H107&lt;&gt;"Sí",TODAY()&gt;=G107),"Repasar (1)",IF(AND(H107="Sí",TODAY()&gt;=I107),"Repasar (2)","En espera"))))</f>
        <v/>
      </c>
    </row>
    <row r="108" customFormat="false" ht="15" hidden="false" customHeight="false" outlineLevel="0" collapsed="false">
      <c r="A108" s="4"/>
      <c r="B108" s="18"/>
      <c r="C108" s="18"/>
      <c r="D108" s="18"/>
      <c r="E108" s="18"/>
      <c r="F108" s="18"/>
      <c r="G108" s="5" t="str">
        <f aca="false">IF(A108="","",A108+7)</f>
        <v/>
      </c>
      <c r="H108" s="18"/>
      <c r="I108" s="5" t="str">
        <f aca="false">IF(A108="","",A108+21)</f>
        <v/>
      </c>
      <c r="J108" s="18"/>
      <c r="K108" s="17" t="str">
        <f aca="true">IF(A108="","",IF(J108="Sí","Cerrado",IF(AND(H108&lt;&gt;"Sí",TODAY()&gt;=G108),"Repasar (1)",IF(AND(H108="Sí",TODAY()&gt;=I108),"Repasar (2)","En espera"))))</f>
        <v/>
      </c>
    </row>
    <row r="109" customFormat="false" ht="15" hidden="false" customHeight="false" outlineLevel="0" collapsed="false">
      <c r="A109" s="4"/>
      <c r="B109" s="18"/>
      <c r="C109" s="18"/>
      <c r="D109" s="18"/>
      <c r="E109" s="18"/>
      <c r="F109" s="18"/>
      <c r="G109" s="5" t="str">
        <f aca="false">IF(A109="","",A109+7)</f>
        <v/>
      </c>
      <c r="H109" s="18"/>
      <c r="I109" s="5" t="str">
        <f aca="false">IF(A109="","",A109+21)</f>
        <v/>
      </c>
      <c r="J109" s="18"/>
      <c r="K109" s="17" t="str">
        <f aca="true">IF(A109="","",IF(J109="Sí","Cerrado",IF(AND(H109&lt;&gt;"Sí",TODAY()&gt;=G109),"Repasar (1)",IF(AND(H109="Sí",TODAY()&gt;=I109),"Repasar (2)","En espera"))))</f>
        <v/>
      </c>
    </row>
    <row r="110" customFormat="false" ht="15" hidden="false" customHeight="false" outlineLevel="0" collapsed="false">
      <c r="A110" s="4"/>
      <c r="B110" s="18"/>
      <c r="C110" s="18"/>
      <c r="D110" s="18"/>
      <c r="E110" s="18"/>
      <c r="F110" s="18"/>
      <c r="G110" s="5" t="str">
        <f aca="false">IF(A110="","",A110+7)</f>
        <v/>
      </c>
      <c r="H110" s="18"/>
      <c r="I110" s="5" t="str">
        <f aca="false">IF(A110="","",A110+21)</f>
        <v/>
      </c>
      <c r="J110" s="18"/>
      <c r="K110" s="17" t="str">
        <f aca="true">IF(A110="","",IF(J110="Sí","Cerrado",IF(AND(H110&lt;&gt;"Sí",TODAY()&gt;=G110),"Repasar (1)",IF(AND(H110="Sí",TODAY()&gt;=I110),"Repasar (2)","En espera"))))</f>
        <v/>
      </c>
    </row>
    <row r="111" customFormat="false" ht="15" hidden="false" customHeight="false" outlineLevel="0" collapsed="false">
      <c r="A111" s="4"/>
      <c r="B111" s="18"/>
      <c r="C111" s="18"/>
      <c r="D111" s="18"/>
      <c r="E111" s="18"/>
      <c r="F111" s="18"/>
      <c r="G111" s="5" t="str">
        <f aca="false">IF(A111="","",A111+7)</f>
        <v/>
      </c>
      <c r="H111" s="18"/>
      <c r="I111" s="5" t="str">
        <f aca="false">IF(A111="","",A111+21)</f>
        <v/>
      </c>
      <c r="J111" s="18"/>
      <c r="K111" s="17" t="str">
        <f aca="true">IF(A111="","",IF(J111="Sí","Cerrado",IF(AND(H111&lt;&gt;"Sí",TODAY()&gt;=G111),"Repasar (1)",IF(AND(H111="Sí",TODAY()&gt;=I111),"Repasar (2)","En espera"))))</f>
        <v/>
      </c>
    </row>
    <row r="112" customFormat="false" ht="15" hidden="false" customHeight="false" outlineLevel="0" collapsed="false">
      <c r="A112" s="4"/>
      <c r="B112" s="18"/>
      <c r="C112" s="18"/>
      <c r="D112" s="18"/>
      <c r="E112" s="18"/>
      <c r="F112" s="18"/>
      <c r="G112" s="5" t="str">
        <f aca="false">IF(A112="","",A112+7)</f>
        <v/>
      </c>
      <c r="H112" s="18"/>
      <c r="I112" s="5" t="str">
        <f aca="false">IF(A112="","",A112+21)</f>
        <v/>
      </c>
      <c r="J112" s="18"/>
      <c r="K112" s="17" t="str">
        <f aca="true">IF(A112="","",IF(J112="Sí","Cerrado",IF(AND(H112&lt;&gt;"Sí",TODAY()&gt;=G112),"Repasar (1)",IF(AND(H112="Sí",TODAY()&gt;=I112),"Repasar (2)","En espera"))))</f>
        <v/>
      </c>
    </row>
    <row r="113" customFormat="false" ht="15" hidden="false" customHeight="false" outlineLevel="0" collapsed="false">
      <c r="A113" s="4"/>
      <c r="B113" s="18"/>
      <c r="C113" s="18"/>
      <c r="D113" s="18"/>
      <c r="E113" s="18"/>
      <c r="F113" s="18"/>
      <c r="G113" s="5" t="str">
        <f aca="false">IF(A113="","",A113+7)</f>
        <v/>
      </c>
      <c r="H113" s="18"/>
      <c r="I113" s="5" t="str">
        <f aca="false">IF(A113="","",A113+21)</f>
        <v/>
      </c>
      <c r="J113" s="18"/>
      <c r="K113" s="17" t="str">
        <f aca="true">IF(A113="","",IF(J113="Sí","Cerrado",IF(AND(H113&lt;&gt;"Sí",TODAY()&gt;=G113),"Repasar (1)",IF(AND(H113="Sí",TODAY()&gt;=I113),"Repasar (2)","En espera"))))</f>
        <v/>
      </c>
    </row>
    <row r="114" customFormat="false" ht="15" hidden="false" customHeight="false" outlineLevel="0" collapsed="false">
      <c r="A114" s="4"/>
      <c r="B114" s="18"/>
      <c r="C114" s="18"/>
      <c r="D114" s="18"/>
      <c r="E114" s="18"/>
      <c r="F114" s="18"/>
      <c r="G114" s="5" t="str">
        <f aca="false">IF(A114="","",A114+7)</f>
        <v/>
      </c>
      <c r="H114" s="18"/>
      <c r="I114" s="5" t="str">
        <f aca="false">IF(A114="","",A114+21)</f>
        <v/>
      </c>
      <c r="J114" s="18"/>
      <c r="K114" s="17" t="str">
        <f aca="true">IF(A114="","",IF(J114="Sí","Cerrado",IF(AND(H114&lt;&gt;"Sí",TODAY()&gt;=G114),"Repasar (1)",IF(AND(H114="Sí",TODAY()&gt;=I114),"Repasar (2)","En espera"))))</f>
        <v/>
      </c>
    </row>
    <row r="115" customFormat="false" ht="15" hidden="false" customHeight="false" outlineLevel="0" collapsed="false">
      <c r="A115" s="4"/>
      <c r="B115" s="18"/>
      <c r="C115" s="18"/>
      <c r="D115" s="18"/>
      <c r="E115" s="18"/>
      <c r="F115" s="18"/>
      <c r="G115" s="5" t="str">
        <f aca="false">IF(A115="","",A115+7)</f>
        <v/>
      </c>
      <c r="H115" s="18"/>
      <c r="I115" s="5" t="str">
        <f aca="false">IF(A115="","",A115+21)</f>
        <v/>
      </c>
      <c r="J115" s="18"/>
      <c r="K115" s="17" t="str">
        <f aca="true">IF(A115="","",IF(J115="Sí","Cerrado",IF(AND(H115&lt;&gt;"Sí",TODAY()&gt;=G115),"Repasar (1)",IF(AND(H115="Sí",TODAY()&gt;=I115),"Repasar (2)","En espera"))))</f>
        <v/>
      </c>
    </row>
    <row r="116" customFormat="false" ht="15" hidden="false" customHeight="false" outlineLevel="0" collapsed="false">
      <c r="A116" s="4"/>
      <c r="B116" s="18"/>
      <c r="C116" s="18"/>
      <c r="D116" s="18"/>
      <c r="E116" s="18"/>
      <c r="F116" s="18"/>
      <c r="G116" s="5" t="str">
        <f aca="false">IF(A116="","",A116+7)</f>
        <v/>
      </c>
      <c r="H116" s="18"/>
      <c r="I116" s="5" t="str">
        <f aca="false">IF(A116="","",A116+21)</f>
        <v/>
      </c>
      <c r="J116" s="18"/>
      <c r="K116" s="17" t="str">
        <f aca="true">IF(A116="","",IF(J116="Sí","Cerrado",IF(AND(H116&lt;&gt;"Sí",TODAY()&gt;=G116),"Repasar (1)",IF(AND(H116="Sí",TODAY()&gt;=I116),"Repasar (2)","En espera"))))</f>
        <v/>
      </c>
    </row>
    <row r="117" customFormat="false" ht="15" hidden="false" customHeight="false" outlineLevel="0" collapsed="false">
      <c r="A117" s="4"/>
      <c r="B117" s="18"/>
      <c r="C117" s="18"/>
      <c r="D117" s="18"/>
      <c r="E117" s="18"/>
      <c r="F117" s="18"/>
      <c r="G117" s="5" t="str">
        <f aca="false">IF(A117="","",A117+7)</f>
        <v/>
      </c>
      <c r="H117" s="18"/>
      <c r="I117" s="5" t="str">
        <f aca="false">IF(A117="","",A117+21)</f>
        <v/>
      </c>
      <c r="J117" s="18"/>
      <c r="K117" s="17" t="str">
        <f aca="true">IF(A117="","",IF(J117="Sí","Cerrado",IF(AND(H117&lt;&gt;"Sí",TODAY()&gt;=G117),"Repasar (1)",IF(AND(H117="Sí",TODAY()&gt;=I117),"Repasar (2)","En espera"))))</f>
        <v/>
      </c>
    </row>
    <row r="118" customFormat="false" ht="15" hidden="false" customHeight="false" outlineLevel="0" collapsed="false">
      <c r="A118" s="4"/>
      <c r="B118" s="18"/>
      <c r="C118" s="18"/>
      <c r="D118" s="18"/>
      <c r="E118" s="18"/>
      <c r="F118" s="18"/>
      <c r="G118" s="5" t="str">
        <f aca="false">IF(A118="","",A118+7)</f>
        <v/>
      </c>
      <c r="H118" s="18"/>
      <c r="I118" s="5" t="str">
        <f aca="false">IF(A118="","",A118+21)</f>
        <v/>
      </c>
      <c r="J118" s="18"/>
      <c r="K118" s="17" t="str">
        <f aca="true">IF(A118="","",IF(J118="Sí","Cerrado",IF(AND(H118&lt;&gt;"Sí",TODAY()&gt;=G118),"Repasar (1)",IF(AND(H118="Sí",TODAY()&gt;=I118),"Repasar (2)","En espera"))))</f>
        <v/>
      </c>
    </row>
    <row r="119" customFormat="false" ht="15" hidden="false" customHeight="false" outlineLevel="0" collapsed="false">
      <c r="A119" s="4"/>
      <c r="B119" s="18"/>
      <c r="C119" s="18"/>
      <c r="D119" s="18"/>
      <c r="E119" s="18"/>
      <c r="F119" s="18"/>
      <c r="G119" s="5" t="str">
        <f aca="false">IF(A119="","",A119+7)</f>
        <v/>
      </c>
      <c r="H119" s="18"/>
      <c r="I119" s="5" t="str">
        <f aca="false">IF(A119="","",A119+21)</f>
        <v/>
      </c>
      <c r="J119" s="18"/>
      <c r="K119" s="17" t="str">
        <f aca="true">IF(A119="","",IF(J119="Sí","Cerrado",IF(AND(H119&lt;&gt;"Sí",TODAY()&gt;=G119),"Repasar (1)",IF(AND(H119="Sí",TODAY()&gt;=I119),"Repasar (2)","En espera"))))</f>
        <v/>
      </c>
    </row>
    <row r="120" customFormat="false" ht="15" hidden="false" customHeight="false" outlineLevel="0" collapsed="false">
      <c r="A120" s="4"/>
      <c r="B120" s="18"/>
      <c r="C120" s="18"/>
      <c r="D120" s="18"/>
      <c r="E120" s="18"/>
      <c r="F120" s="18"/>
      <c r="G120" s="5" t="str">
        <f aca="false">IF(A120="","",A120+7)</f>
        <v/>
      </c>
      <c r="H120" s="18"/>
      <c r="I120" s="5" t="str">
        <f aca="false">IF(A120="","",A120+21)</f>
        <v/>
      </c>
      <c r="J120" s="18"/>
      <c r="K120" s="17" t="str">
        <f aca="true">IF(A120="","",IF(J120="Sí","Cerrado",IF(AND(H120&lt;&gt;"Sí",TODAY()&gt;=G120),"Repasar (1)",IF(AND(H120="Sí",TODAY()&gt;=I120),"Repasar (2)","En espera"))))</f>
        <v/>
      </c>
    </row>
    <row r="121" customFormat="false" ht="15" hidden="false" customHeight="false" outlineLevel="0" collapsed="false">
      <c r="A121" s="4"/>
      <c r="B121" s="18"/>
      <c r="C121" s="18"/>
      <c r="D121" s="18"/>
      <c r="E121" s="18"/>
      <c r="F121" s="18"/>
      <c r="G121" s="5" t="str">
        <f aca="false">IF(A121="","",A121+7)</f>
        <v/>
      </c>
      <c r="H121" s="18"/>
      <c r="I121" s="5" t="str">
        <f aca="false">IF(A121="","",A121+21)</f>
        <v/>
      </c>
      <c r="J121" s="18"/>
      <c r="K121" s="17" t="str">
        <f aca="true">IF(A121="","",IF(J121="Sí","Cerrado",IF(AND(H121&lt;&gt;"Sí",TODAY()&gt;=G121),"Repasar (1)",IF(AND(H121="Sí",TODAY()&gt;=I121),"Repasar (2)","En espera"))))</f>
        <v/>
      </c>
    </row>
    <row r="122" customFormat="false" ht="15" hidden="false" customHeight="false" outlineLevel="0" collapsed="false">
      <c r="A122" s="4"/>
      <c r="B122" s="18"/>
      <c r="C122" s="18"/>
      <c r="D122" s="18"/>
      <c r="E122" s="18"/>
      <c r="F122" s="18"/>
      <c r="G122" s="5" t="str">
        <f aca="false">IF(A122="","",A122+7)</f>
        <v/>
      </c>
      <c r="H122" s="18"/>
      <c r="I122" s="5" t="str">
        <f aca="false">IF(A122="","",A122+21)</f>
        <v/>
      </c>
      <c r="J122" s="18"/>
      <c r="K122" s="17" t="str">
        <f aca="true">IF(A122="","",IF(J122="Sí","Cerrado",IF(AND(H122&lt;&gt;"Sí",TODAY()&gt;=G122),"Repasar (1)",IF(AND(H122="Sí",TODAY()&gt;=I122),"Repasar (2)","En espera"))))</f>
        <v/>
      </c>
    </row>
    <row r="123" customFormat="false" ht="15" hidden="false" customHeight="false" outlineLevel="0" collapsed="false">
      <c r="A123" s="4"/>
      <c r="B123" s="18"/>
      <c r="C123" s="18"/>
      <c r="D123" s="18"/>
      <c r="E123" s="18"/>
      <c r="F123" s="18"/>
      <c r="G123" s="5" t="str">
        <f aca="false">IF(A123="","",A123+7)</f>
        <v/>
      </c>
      <c r="H123" s="18"/>
      <c r="I123" s="5" t="str">
        <f aca="false">IF(A123="","",A123+21)</f>
        <v/>
      </c>
      <c r="J123" s="18"/>
      <c r="K123" s="17" t="str">
        <f aca="true">IF(A123="","",IF(J123="Sí","Cerrado",IF(AND(H123&lt;&gt;"Sí",TODAY()&gt;=G123),"Repasar (1)",IF(AND(H123="Sí",TODAY()&gt;=I123),"Repasar (2)","En espera"))))</f>
        <v/>
      </c>
    </row>
    <row r="124" customFormat="false" ht="15" hidden="false" customHeight="false" outlineLevel="0" collapsed="false">
      <c r="A124" s="4"/>
      <c r="B124" s="18"/>
      <c r="C124" s="18"/>
      <c r="D124" s="18"/>
      <c r="E124" s="18"/>
      <c r="F124" s="18"/>
      <c r="G124" s="5" t="str">
        <f aca="false">IF(A124="","",A124+7)</f>
        <v/>
      </c>
      <c r="H124" s="18"/>
      <c r="I124" s="5" t="str">
        <f aca="false">IF(A124="","",A124+21)</f>
        <v/>
      </c>
      <c r="J124" s="18"/>
      <c r="K124" s="17" t="str">
        <f aca="true">IF(A124="","",IF(J124="Sí","Cerrado",IF(AND(H124&lt;&gt;"Sí",TODAY()&gt;=G124),"Repasar (1)",IF(AND(H124="Sí",TODAY()&gt;=I124),"Repasar (2)","En espera"))))</f>
        <v/>
      </c>
    </row>
    <row r="125" customFormat="false" ht="15" hidden="false" customHeight="false" outlineLevel="0" collapsed="false">
      <c r="A125" s="4"/>
      <c r="B125" s="18"/>
      <c r="C125" s="18"/>
      <c r="D125" s="18"/>
      <c r="E125" s="18"/>
      <c r="F125" s="18"/>
      <c r="G125" s="5" t="str">
        <f aca="false">IF(A125="","",A125+7)</f>
        <v/>
      </c>
      <c r="H125" s="18"/>
      <c r="I125" s="5" t="str">
        <f aca="false">IF(A125="","",A125+21)</f>
        <v/>
      </c>
      <c r="J125" s="18"/>
      <c r="K125" s="17" t="str">
        <f aca="true">IF(A125="","",IF(J125="Sí","Cerrado",IF(AND(H125&lt;&gt;"Sí",TODAY()&gt;=G125),"Repasar (1)",IF(AND(H125="Sí",TODAY()&gt;=I125),"Repasar (2)","En espera"))))</f>
        <v/>
      </c>
    </row>
    <row r="126" customFormat="false" ht="15" hidden="false" customHeight="false" outlineLevel="0" collapsed="false">
      <c r="A126" s="4"/>
      <c r="B126" s="18"/>
      <c r="C126" s="18"/>
      <c r="D126" s="18"/>
      <c r="E126" s="18"/>
      <c r="F126" s="18"/>
      <c r="G126" s="5" t="str">
        <f aca="false">IF(A126="","",A126+7)</f>
        <v/>
      </c>
      <c r="H126" s="18"/>
      <c r="I126" s="5" t="str">
        <f aca="false">IF(A126="","",A126+21)</f>
        <v/>
      </c>
      <c r="J126" s="18"/>
      <c r="K126" s="17" t="str">
        <f aca="true">IF(A126="","",IF(J126="Sí","Cerrado",IF(AND(H126&lt;&gt;"Sí",TODAY()&gt;=G126),"Repasar (1)",IF(AND(H126="Sí",TODAY()&gt;=I126),"Repasar (2)","En espera"))))</f>
        <v/>
      </c>
    </row>
    <row r="127" customFormat="false" ht="15" hidden="false" customHeight="false" outlineLevel="0" collapsed="false">
      <c r="A127" s="4"/>
      <c r="B127" s="18"/>
      <c r="C127" s="18"/>
      <c r="D127" s="18"/>
      <c r="E127" s="18"/>
      <c r="F127" s="18"/>
      <c r="G127" s="5" t="str">
        <f aca="false">IF(A127="","",A127+7)</f>
        <v/>
      </c>
      <c r="H127" s="18"/>
      <c r="I127" s="5" t="str">
        <f aca="false">IF(A127="","",A127+21)</f>
        <v/>
      </c>
      <c r="J127" s="18"/>
      <c r="K127" s="17" t="str">
        <f aca="true">IF(A127="","",IF(J127="Sí","Cerrado",IF(AND(H127&lt;&gt;"Sí",TODAY()&gt;=G127),"Repasar (1)",IF(AND(H127="Sí",TODAY()&gt;=I127),"Repasar (2)","En espera"))))</f>
        <v/>
      </c>
    </row>
    <row r="128" customFormat="false" ht="15" hidden="false" customHeight="false" outlineLevel="0" collapsed="false">
      <c r="A128" s="4"/>
      <c r="B128" s="18"/>
      <c r="C128" s="18"/>
      <c r="D128" s="18"/>
      <c r="E128" s="18"/>
      <c r="F128" s="18"/>
      <c r="G128" s="5" t="str">
        <f aca="false">IF(A128="","",A128+7)</f>
        <v/>
      </c>
      <c r="H128" s="18"/>
      <c r="I128" s="5" t="str">
        <f aca="false">IF(A128="","",A128+21)</f>
        <v/>
      </c>
      <c r="J128" s="18"/>
      <c r="K128" s="17" t="str">
        <f aca="true">IF(A128="","",IF(J128="Sí","Cerrado",IF(AND(H128&lt;&gt;"Sí",TODAY()&gt;=G128),"Repasar (1)",IF(AND(H128="Sí",TODAY()&gt;=I128),"Repasar (2)","En espera"))))</f>
        <v/>
      </c>
    </row>
    <row r="129" customFormat="false" ht="15" hidden="false" customHeight="false" outlineLevel="0" collapsed="false">
      <c r="A129" s="4"/>
      <c r="B129" s="18"/>
      <c r="C129" s="18"/>
      <c r="D129" s="18"/>
      <c r="E129" s="18"/>
      <c r="F129" s="18"/>
      <c r="G129" s="5" t="str">
        <f aca="false">IF(A129="","",A129+7)</f>
        <v/>
      </c>
      <c r="H129" s="18"/>
      <c r="I129" s="5" t="str">
        <f aca="false">IF(A129="","",A129+21)</f>
        <v/>
      </c>
      <c r="J129" s="18"/>
      <c r="K129" s="17" t="str">
        <f aca="true">IF(A129="","",IF(J129="Sí","Cerrado",IF(AND(H129&lt;&gt;"Sí",TODAY()&gt;=G129),"Repasar (1)",IF(AND(H129="Sí",TODAY()&gt;=I129),"Repasar (2)","En espera"))))</f>
        <v/>
      </c>
    </row>
    <row r="130" customFormat="false" ht="15" hidden="false" customHeight="false" outlineLevel="0" collapsed="false">
      <c r="A130" s="4"/>
      <c r="B130" s="18"/>
      <c r="C130" s="18"/>
      <c r="D130" s="18"/>
      <c r="E130" s="18"/>
      <c r="F130" s="18"/>
      <c r="G130" s="5" t="str">
        <f aca="false">IF(A130="","",A130+7)</f>
        <v/>
      </c>
      <c r="H130" s="18"/>
      <c r="I130" s="5" t="str">
        <f aca="false">IF(A130="","",A130+21)</f>
        <v/>
      </c>
      <c r="J130" s="18"/>
      <c r="K130" s="17" t="str">
        <f aca="true">IF(A130="","",IF(J130="Sí","Cerrado",IF(AND(H130&lt;&gt;"Sí",TODAY()&gt;=G130),"Repasar (1)",IF(AND(H130="Sí",TODAY()&gt;=I130),"Repasar (2)","En espera"))))</f>
        <v/>
      </c>
    </row>
    <row r="131" customFormat="false" ht="15" hidden="false" customHeight="false" outlineLevel="0" collapsed="false">
      <c r="A131" s="4"/>
      <c r="B131" s="18"/>
      <c r="C131" s="18"/>
      <c r="D131" s="18"/>
      <c r="E131" s="18"/>
      <c r="F131" s="18"/>
      <c r="G131" s="5" t="str">
        <f aca="false">IF(A131="","",A131+7)</f>
        <v/>
      </c>
      <c r="H131" s="18"/>
      <c r="I131" s="5" t="str">
        <f aca="false">IF(A131="","",A131+21)</f>
        <v/>
      </c>
      <c r="J131" s="18"/>
      <c r="K131" s="17" t="str">
        <f aca="true">IF(A131="","",IF(J131="Sí","Cerrado",IF(AND(H131&lt;&gt;"Sí",TODAY()&gt;=G131),"Repasar (1)",IF(AND(H131="Sí",TODAY()&gt;=I131),"Repasar (2)","En espera"))))</f>
        <v/>
      </c>
    </row>
    <row r="132" customFormat="false" ht="15" hidden="false" customHeight="false" outlineLevel="0" collapsed="false">
      <c r="A132" s="4"/>
      <c r="B132" s="18"/>
      <c r="C132" s="18"/>
      <c r="D132" s="18"/>
      <c r="E132" s="18"/>
      <c r="F132" s="18"/>
      <c r="G132" s="5" t="str">
        <f aca="false">IF(A132="","",A132+7)</f>
        <v/>
      </c>
      <c r="H132" s="18"/>
      <c r="I132" s="5" t="str">
        <f aca="false">IF(A132="","",A132+21)</f>
        <v/>
      </c>
      <c r="J132" s="18"/>
      <c r="K132" s="17" t="str">
        <f aca="true">IF(A132="","",IF(J132="Sí","Cerrado",IF(AND(H132&lt;&gt;"Sí",TODAY()&gt;=G132),"Repasar (1)",IF(AND(H132="Sí",TODAY()&gt;=I132),"Repasar (2)","En espera"))))</f>
        <v/>
      </c>
    </row>
    <row r="133" customFormat="false" ht="15" hidden="false" customHeight="false" outlineLevel="0" collapsed="false">
      <c r="A133" s="4"/>
      <c r="B133" s="18"/>
      <c r="C133" s="18"/>
      <c r="D133" s="18"/>
      <c r="E133" s="18"/>
      <c r="F133" s="18"/>
      <c r="G133" s="5" t="str">
        <f aca="false">IF(A133="","",A133+7)</f>
        <v/>
      </c>
      <c r="H133" s="18"/>
      <c r="I133" s="5" t="str">
        <f aca="false">IF(A133="","",A133+21)</f>
        <v/>
      </c>
      <c r="J133" s="18"/>
      <c r="K133" s="17" t="str">
        <f aca="true">IF(A133="","",IF(J133="Sí","Cerrado",IF(AND(H133&lt;&gt;"Sí",TODAY()&gt;=G133),"Repasar (1)",IF(AND(H133="Sí",TODAY()&gt;=I133),"Repasar (2)","En espera"))))</f>
        <v/>
      </c>
    </row>
    <row r="134" customFormat="false" ht="15" hidden="false" customHeight="false" outlineLevel="0" collapsed="false">
      <c r="A134" s="4"/>
      <c r="B134" s="18"/>
      <c r="C134" s="18"/>
      <c r="D134" s="18"/>
      <c r="E134" s="18"/>
      <c r="F134" s="18"/>
      <c r="G134" s="5" t="str">
        <f aca="false">IF(A134="","",A134+7)</f>
        <v/>
      </c>
      <c r="H134" s="18"/>
      <c r="I134" s="5" t="str">
        <f aca="false">IF(A134="","",A134+21)</f>
        <v/>
      </c>
      <c r="J134" s="18"/>
      <c r="K134" s="17" t="str">
        <f aca="true">IF(A134="","",IF(J134="Sí","Cerrado",IF(AND(H134&lt;&gt;"Sí",TODAY()&gt;=G134),"Repasar (1)",IF(AND(H134="Sí",TODAY()&gt;=I134),"Repasar (2)","En espera"))))</f>
        <v/>
      </c>
    </row>
    <row r="135" customFormat="false" ht="15" hidden="false" customHeight="false" outlineLevel="0" collapsed="false">
      <c r="A135" s="4"/>
      <c r="B135" s="18"/>
      <c r="C135" s="18"/>
      <c r="D135" s="18"/>
      <c r="E135" s="18"/>
      <c r="F135" s="18"/>
      <c r="G135" s="5" t="str">
        <f aca="false">IF(A135="","",A135+7)</f>
        <v/>
      </c>
      <c r="H135" s="18"/>
      <c r="I135" s="5" t="str">
        <f aca="false">IF(A135="","",A135+21)</f>
        <v/>
      </c>
      <c r="J135" s="18"/>
      <c r="K135" s="17" t="str">
        <f aca="true">IF(A135="","",IF(J135="Sí","Cerrado",IF(AND(H135&lt;&gt;"Sí",TODAY()&gt;=G135),"Repasar (1)",IF(AND(H135="Sí",TODAY()&gt;=I135),"Repasar (2)","En espera"))))</f>
        <v/>
      </c>
    </row>
    <row r="136" customFormat="false" ht="15" hidden="false" customHeight="false" outlineLevel="0" collapsed="false">
      <c r="A136" s="4"/>
      <c r="B136" s="18"/>
      <c r="C136" s="18"/>
      <c r="D136" s="18"/>
      <c r="E136" s="18"/>
      <c r="F136" s="18"/>
      <c r="G136" s="5" t="str">
        <f aca="false">IF(A136="","",A136+7)</f>
        <v/>
      </c>
      <c r="H136" s="18"/>
      <c r="I136" s="5" t="str">
        <f aca="false">IF(A136="","",A136+21)</f>
        <v/>
      </c>
      <c r="J136" s="18"/>
      <c r="K136" s="17" t="str">
        <f aca="true">IF(A136="","",IF(J136="Sí","Cerrado",IF(AND(H136&lt;&gt;"Sí",TODAY()&gt;=G136),"Repasar (1)",IF(AND(H136="Sí",TODAY()&gt;=I136),"Repasar (2)","En espera"))))</f>
        <v/>
      </c>
    </row>
    <row r="137" customFormat="false" ht="15" hidden="false" customHeight="false" outlineLevel="0" collapsed="false">
      <c r="A137" s="4"/>
      <c r="B137" s="18"/>
      <c r="C137" s="18"/>
      <c r="D137" s="18"/>
      <c r="E137" s="18"/>
      <c r="F137" s="18"/>
      <c r="G137" s="5" t="str">
        <f aca="false">IF(A137="","",A137+7)</f>
        <v/>
      </c>
      <c r="H137" s="18"/>
      <c r="I137" s="5" t="str">
        <f aca="false">IF(A137="","",A137+21)</f>
        <v/>
      </c>
      <c r="J137" s="18"/>
      <c r="K137" s="17" t="str">
        <f aca="true">IF(A137="","",IF(J137="Sí","Cerrado",IF(AND(H137&lt;&gt;"Sí",TODAY()&gt;=G137),"Repasar (1)",IF(AND(H137="Sí",TODAY()&gt;=I137),"Repasar (2)","En espera"))))</f>
        <v/>
      </c>
    </row>
    <row r="138" customFormat="false" ht="15" hidden="false" customHeight="false" outlineLevel="0" collapsed="false">
      <c r="A138" s="4"/>
      <c r="B138" s="18"/>
      <c r="C138" s="18"/>
      <c r="D138" s="18"/>
      <c r="E138" s="18"/>
      <c r="F138" s="18"/>
      <c r="G138" s="5" t="str">
        <f aca="false">IF(A138="","",A138+7)</f>
        <v/>
      </c>
      <c r="H138" s="18"/>
      <c r="I138" s="5" t="str">
        <f aca="false">IF(A138="","",A138+21)</f>
        <v/>
      </c>
      <c r="J138" s="18"/>
      <c r="K138" s="17" t="str">
        <f aca="true">IF(A138="","",IF(J138="Sí","Cerrado",IF(AND(H138&lt;&gt;"Sí",TODAY()&gt;=G138),"Repasar (1)",IF(AND(H138="Sí",TODAY()&gt;=I138),"Repasar (2)","En espera"))))</f>
        <v/>
      </c>
    </row>
    <row r="139" customFormat="false" ht="15" hidden="false" customHeight="false" outlineLevel="0" collapsed="false">
      <c r="A139" s="4"/>
      <c r="B139" s="18"/>
      <c r="C139" s="18"/>
      <c r="D139" s="18"/>
      <c r="E139" s="18"/>
      <c r="F139" s="18"/>
      <c r="G139" s="5" t="str">
        <f aca="false">IF(A139="","",A139+7)</f>
        <v/>
      </c>
      <c r="H139" s="18"/>
      <c r="I139" s="5" t="str">
        <f aca="false">IF(A139="","",A139+21)</f>
        <v/>
      </c>
      <c r="J139" s="18"/>
      <c r="K139" s="17" t="str">
        <f aca="true">IF(A139="","",IF(J139="Sí","Cerrado",IF(AND(H139&lt;&gt;"Sí",TODAY()&gt;=G139),"Repasar (1)",IF(AND(H139="Sí",TODAY()&gt;=I139),"Repasar (2)","En espera"))))</f>
        <v/>
      </c>
    </row>
    <row r="140" customFormat="false" ht="15" hidden="false" customHeight="false" outlineLevel="0" collapsed="false">
      <c r="A140" s="4"/>
      <c r="B140" s="18"/>
      <c r="C140" s="18"/>
      <c r="D140" s="18"/>
      <c r="E140" s="18"/>
      <c r="F140" s="18"/>
      <c r="G140" s="5" t="str">
        <f aca="false">IF(A140="","",A140+7)</f>
        <v/>
      </c>
      <c r="H140" s="18"/>
      <c r="I140" s="5" t="str">
        <f aca="false">IF(A140="","",A140+21)</f>
        <v/>
      </c>
      <c r="J140" s="18"/>
      <c r="K140" s="17" t="str">
        <f aca="true">IF(A140="","",IF(J140="Sí","Cerrado",IF(AND(H140&lt;&gt;"Sí",TODAY()&gt;=G140),"Repasar (1)",IF(AND(H140="Sí",TODAY()&gt;=I140),"Repasar (2)","En espera"))))</f>
        <v/>
      </c>
    </row>
    <row r="141" customFormat="false" ht="15" hidden="false" customHeight="false" outlineLevel="0" collapsed="false">
      <c r="A141" s="4"/>
      <c r="B141" s="18"/>
      <c r="C141" s="18"/>
      <c r="D141" s="18"/>
      <c r="E141" s="18"/>
      <c r="F141" s="18"/>
      <c r="G141" s="5" t="str">
        <f aca="false">IF(A141="","",A141+7)</f>
        <v/>
      </c>
      <c r="H141" s="18"/>
      <c r="I141" s="5" t="str">
        <f aca="false">IF(A141="","",A141+21)</f>
        <v/>
      </c>
      <c r="J141" s="18"/>
      <c r="K141" s="17" t="str">
        <f aca="true">IF(A141="","",IF(J141="Sí","Cerrado",IF(AND(H141&lt;&gt;"Sí",TODAY()&gt;=G141),"Repasar (1)",IF(AND(H141="Sí",TODAY()&gt;=I141),"Repasar (2)","En espera"))))</f>
        <v/>
      </c>
    </row>
    <row r="142" customFormat="false" ht="15" hidden="false" customHeight="false" outlineLevel="0" collapsed="false">
      <c r="A142" s="4"/>
      <c r="B142" s="18"/>
      <c r="C142" s="18"/>
      <c r="D142" s="18"/>
      <c r="E142" s="18"/>
      <c r="F142" s="18"/>
      <c r="G142" s="5" t="str">
        <f aca="false">IF(A142="","",A142+7)</f>
        <v/>
      </c>
      <c r="H142" s="18"/>
      <c r="I142" s="5" t="str">
        <f aca="false">IF(A142="","",A142+21)</f>
        <v/>
      </c>
      <c r="J142" s="18"/>
      <c r="K142" s="17" t="str">
        <f aca="true">IF(A142="","",IF(J142="Sí","Cerrado",IF(AND(H142&lt;&gt;"Sí",TODAY()&gt;=G142),"Repasar (1)",IF(AND(H142="Sí",TODAY()&gt;=I142),"Repasar (2)","En espera"))))</f>
        <v/>
      </c>
    </row>
    <row r="143" customFormat="false" ht="15" hidden="false" customHeight="false" outlineLevel="0" collapsed="false">
      <c r="A143" s="4"/>
      <c r="B143" s="18"/>
      <c r="C143" s="18"/>
      <c r="D143" s="18"/>
      <c r="E143" s="18"/>
      <c r="F143" s="18"/>
      <c r="G143" s="5" t="str">
        <f aca="false">IF(A143="","",A143+7)</f>
        <v/>
      </c>
      <c r="H143" s="18"/>
      <c r="I143" s="5" t="str">
        <f aca="false">IF(A143="","",A143+21)</f>
        <v/>
      </c>
      <c r="J143" s="18"/>
      <c r="K143" s="17" t="str">
        <f aca="true">IF(A143="","",IF(J143="Sí","Cerrado",IF(AND(H143&lt;&gt;"Sí",TODAY()&gt;=G143),"Repasar (1)",IF(AND(H143="Sí",TODAY()&gt;=I143),"Repasar (2)","En espera"))))</f>
        <v/>
      </c>
    </row>
    <row r="144" customFormat="false" ht="15" hidden="false" customHeight="false" outlineLevel="0" collapsed="false">
      <c r="A144" s="4"/>
      <c r="B144" s="18"/>
      <c r="C144" s="18"/>
      <c r="D144" s="18"/>
      <c r="E144" s="18"/>
      <c r="F144" s="18"/>
      <c r="G144" s="5" t="str">
        <f aca="false">IF(A144="","",A144+7)</f>
        <v/>
      </c>
      <c r="H144" s="18"/>
      <c r="I144" s="5" t="str">
        <f aca="false">IF(A144="","",A144+21)</f>
        <v/>
      </c>
      <c r="J144" s="18"/>
      <c r="K144" s="17" t="str">
        <f aca="true">IF(A144="","",IF(J144="Sí","Cerrado",IF(AND(H144&lt;&gt;"Sí",TODAY()&gt;=G144),"Repasar (1)",IF(AND(H144="Sí",TODAY()&gt;=I144),"Repasar (2)","En espera"))))</f>
        <v/>
      </c>
    </row>
    <row r="145" customFormat="false" ht="15" hidden="false" customHeight="false" outlineLevel="0" collapsed="false">
      <c r="A145" s="4"/>
      <c r="B145" s="18"/>
      <c r="C145" s="18"/>
      <c r="D145" s="18"/>
      <c r="E145" s="18"/>
      <c r="F145" s="18"/>
      <c r="G145" s="5" t="str">
        <f aca="false">IF(A145="","",A145+7)</f>
        <v/>
      </c>
      <c r="H145" s="18"/>
      <c r="I145" s="5" t="str">
        <f aca="false">IF(A145="","",A145+21)</f>
        <v/>
      </c>
      <c r="J145" s="18"/>
      <c r="K145" s="17" t="str">
        <f aca="true">IF(A145="","",IF(J145="Sí","Cerrado",IF(AND(H145&lt;&gt;"Sí",TODAY()&gt;=G145),"Repasar (1)",IF(AND(H145="Sí",TODAY()&gt;=I145),"Repasar (2)","En espera"))))</f>
        <v/>
      </c>
    </row>
    <row r="146" customFormat="false" ht="15" hidden="false" customHeight="false" outlineLevel="0" collapsed="false">
      <c r="A146" s="4"/>
      <c r="B146" s="18"/>
      <c r="C146" s="18"/>
      <c r="D146" s="18"/>
      <c r="E146" s="18"/>
      <c r="F146" s="18"/>
      <c r="G146" s="5" t="str">
        <f aca="false">IF(A146="","",A146+7)</f>
        <v/>
      </c>
      <c r="H146" s="18"/>
      <c r="I146" s="5" t="str">
        <f aca="false">IF(A146="","",A146+21)</f>
        <v/>
      </c>
      <c r="J146" s="18"/>
      <c r="K146" s="17" t="str">
        <f aca="true">IF(A146="","",IF(J146="Sí","Cerrado",IF(AND(H146&lt;&gt;"Sí",TODAY()&gt;=G146),"Repasar (1)",IF(AND(H146="Sí",TODAY()&gt;=I146),"Repasar (2)","En espera"))))</f>
        <v/>
      </c>
    </row>
    <row r="147" customFormat="false" ht="15" hidden="false" customHeight="false" outlineLevel="0" collapsed="false">
      <c r="A147" s="4"/>
      <c r="B147" s="18"/>
      <c r="C147" s="18"/>
      <c r="D147" s="18"/>
      <c r="E147" s="18"/>
      <c r="F147" s="18"/>
      <c r="G147" s="5" t="str">
        <f aca="false">IF(A147="","",A147+7)</f>
        <v/>
      </c>
      <c r="H147" s="18"/>
      <c r="I147" s="5" t="str">
        <f aca="false">IF(A147="","",A147+21)</f>
        <v/>
      </c>
      <c r="J147" s="18"/>
      <c r="K147" s="17" t="str">
        <f aca="true">IF(A147="","",IF(J147="Sí","Cerrado",IF(AND(H147&lt;&gt;"Sí",TODAY()&gt;=G147),"Repasar (1)",IF(AND(H147="Sí",TODAY()&gt;=I147),"Repasar (2)","En espera"))))</f>
        <v/>
      </c>
    </row>
    <row r="148" customFormat="false" ht="15" hidden="false" customHeight="false" outlineLevel="0" collapsed="false">
      <c r="A148" s="4"/>
      <c r="B148" s="18"/>
      <c r="C148" s="18"/>
      <c r="D148" s="18"/>
      <c r="E148" s="18"/>
      <c r="F148" s="18"/>
      <c r="G148" s="5" t="str">
        <f aca="false">IF(A148="","",A148+7)</f>
        <v/>
      </c>
      <c r="H148" s="18"/>
      <c r="I148" s="5" t="str">
        <f aca="false">IF(A148="","",A148+21)</f>
        <v/>
      </c>
      <c r="J148" s="18"/>
      <c r="K148" s="17" t="str">
        <f aca="true">IF(A148="","",IF(J148="Sí","Cerrado",IF(AND(H148&lt;&gt;"Sí",TODAY()&gt;=G148),"Repasar (1)",IF(AND(H148="Sí",TODAY()&gt;=I148),"Repasar (2)","En espera"))))</f>
        <v/>
      </c>
    </row>
    <row r="149" customFormat="false" ht="15" hidden="false" customHeight="false" outlineLevel="0" collapsed="false">
      <c r="A149" s="4"/>
      <c r="B149" s="18"/>
      <c r="C149" s="18"/>
      <c r="D149" s="18"/>
      <c r="E149" s="18"/>
      <c r="F149" s="18"/>
      <c r="G149" s="5" t="str">
        <f aca="false">IF(A149="","",A149+7)</f>
        <v/>
      </c>
      <c r="H149" s="18"/>
      <c r="I149" s="5" t="str">
        <f aca="false">IF(A149="","",A149+21)</f>
        <v/>
      </c>
      <c r="J149" s="18"/>
      <c r="K149" s="17" t="str">
        <f aca="true">IF(A149="","",IF(J149="Sí","Cerrado",IF(AND(H149&lt;&gt;"Sí",TODAY()&gt;=G149),"Repasar (1)",IF(AND(H149="Sí",TODAY()&gt;=I149),"Repasar (2)","En espera"))))</f>
        <v/>
      </c>
    </row>
    <row r="150" customFormat="false" ht="15" hidden="false" customHeight="false" outlineLevel="0" collapsed="false">
      <c r="A150" s="4"/>
      <c r="B150" s="18"/>
      <c r="C150" s="18"/>
      <c r="D150" s="18"/>
      <c r="E150" s="18"/>
      <c r="F150" s="18"/>
      <c r="G150" s="5" t="str">
        <f aca="false">IF(A150="","",A150+7)</f>
        <v/>
      </c>
      <c r="H150" s="18"/>
      <c r="I150" s="5" t="str">
        <f aca="false">IF(A150="","",A150+21)</f>
        <v/>
      </c>
      <c r="J150" s="18"/>
      <c r="K150" s="17" t="str">
        <f aca="true">IF(A150="","",IF(J150="Sí","Cerrado",IF(AND(H150&lt;&gt;"Sí",TODAY()&gt;=G150),"Repasar (1)",IF(AND(H150="Sí",TODAY()&gt;=I150),"Repasar (2)","En espera"))))</f>
        <v/>
      </c>
    </row>
    <row r="151" customFormat="false" ht="15" hidden="false" customHeight="false" outlineLevel="0" collapsed="false">
      <c r="A151" s="4"/>
      <c r="B151" s="18"/>
      <c r="C151" s="18"/>
      <c r="D151" s="18"/>
      <c r="E151" s="18"/>
      <c r="F151" s="18"/>
      <c r="G151" s="5" t="str">
        <f aca="false">IF(A151="","",A151+7)</f>
        <v/>
      </c>
      <c r="H151" s="18"/>
      <c r="I151" s="5" t="str">
        <f aca="false">IF(A151="","",A151+21)</f>
        <v/>
      </c>
      <c r="J151" s="18"/>
      <c r="K151" s="17" t="str">
        <f aca="true">IF(A151="","",IF(J151="Sí","Cerrado",IF(AND(H151&lt;&gt;"Sí",TODAY()&gt;=G151),"Repasar (1)",IF(AND(H151="Sí",TODAY()&gt;=I151),"Repasar (2)","En espera"))))</f>
        <v/>
      </c>
    </row>
    <row r="152" customFormat="false" ht="15" hidden="false" customHeight="false" outlineLevel="0" collapsed="false">
      <c r="A152" s="4"/>
      <c r="B152" s="18"/>
      <c r="C152" s="18"/>
      <c r="D152" s="18"/>
      <c r="E152" s="18"/>
      <c r="F152" s="18"/>
      <c r="G152" s="5" t="str">
        <f aca="false">IF(A152="","",A152+7)</f>
        <v/>
      </c>
      <c r="H152" s="18"/>
      <c r="I152" s="5" t="str">
        <f aca="false">IF(A152="","",A152+21)</f>
        <v/>
      </c>
      <c r="J152" s="18"/>
      <c r="K152" s="17" t="str">
        <f aca="true">IF(A152="","",IF(J152="Sí","Cerrado",IF(AND(H152&lt;&gt;"Sí",TODAY()&gt;=G152),"Repasar (1)",IF(AND(H152="Sí",TODAY()&gt;=I152),"Repasar (2)","En espera"))))</f>
        <v/>
      </c>
    </row>
    <row r="153" customFormat="false" ht="15" hidden="false" customHeight="false" outlineLevel="0" collapsed="false">
      <c r="A153" s="4"/>
      <c r="B153" s="18"/>
      <c r="C153" s="18"/>
      <c r="D153" s="18"/>
      <c r="E153" s="18"/>
      <c r="F153" s="18"/>
      <c r="G153" s="5" t="str">
        <f aca="false">IF(A153="","",A153+7)</f>
        <v/>
      </c>
      <c r="H153" s="18"/>
      <c r="I153" s="5" t="str">
        <f aca="false">IF(A153="","",A153+21)</f>
        <v/>
      </c>
      <c r="J153" s="18"/>
      <c r="K153" s="17" t="str">
        <f aca="true">IF(A153="","",IF(J153="Sí","Cerrado",IF(AND(H153&lt;&gt;"Sí",TODAY()&gt;=G153),"Repasar (1)",IF(AND(H153="Sí",TODAY()&gt;=I153),"Repasar (2)","En espera"))))</f>
        <v/>
      </c>
    </row>
    <row r="154" customFormat="false" ht="15" hidden="false" customHeight="false" outlineLevel="0" collapsed="false">
      <c r="A154" s="4"/>
      <c r="B154" s="18"/>
      <c r="C154" s="18"/>
      <c r="D154" s="18"/>
      <c r="E154" s="18"/>
      <c r="F154" s="18"/>
      <c r="G154" s="5" t="str">
        <f aca="false">IF(A154="","",A154+7)</f>
        <v/>
      </c>
      <c r="H154" s="18"/>
      <c r="I154" s="5" t="str">
        <f aca="false">IF(A154="","",A154+21)</f>
        <v/>
      </c>
      <c r="J154" s="18"/>
      <c r="K154" s="17" t="str">
        <f aca="true">IF(A154="","",IF(J154="Sí","Cerrado",IF(AND(H154&lt;&gt;"Sí",TODAY()&gt;=G154),"Repasar (1)",IF(AND(H154="Sí",TODAY()&gt;=I154),"Repasar (2)","En espera"))))</f>
        <v/>
      </c>
    </row>
    <row r="155" customFormat="false" ht="15" hidden="false" customHeight="false" outlineLevel="0" collapsed="false">
      <c r="A155" s="4"/>
      <c r="B155" s="18"/>
      <c r="C155" s="18"/>
      <c r="D155" s="18"/>
      <c r="E155" s="18"/>
      <c r="F155" s="18"/>
      <c r="G155" s="5" t="str">
        <f aca="false">IF(A155="","",A155+7)</f>
        <v/>
      </c>
      <c r="H155" s="18"/>
      <c r="I155" s="5" t="str">
        <f aca="false">IF(A155="","",A155+21)</f>
        <v/>
      </c>
      <c r="J155" s="18"/>
      <c r="K155" s="17" t="str">
        <f aca="true">IF(A155="","",IF(J155="Sí","Cerrado",IF(AND(H155&lt;&gt;"Sí",TODAY()&gt;=G155),"Repasar (1)",IF(AND(H155="Sí",TODAY()&gt;=I155),"Repasar (2)","En espera"))))</f>
        <v/>
      </c>
    </row>
    <row r="156" customFormat="false" ht="15" hidden="false" customHeight="false" outlineLevel="0" collapsed="false">
      <c r="A156" s="4"/>
      <c r="B156" s="18"/>
      <c r="C156" s="18"/>
      <c r="D156" s="18"/>
      <c r="E156" s="18"/>
      <c r="F156" s="18"/>
      <c r="G156" s="5" t="str">
        <f aca="false">IF(A156="","",A156+7)</f>
        <v/>
      </c>
      <c r="H156" s="18"/>
      <c r="I156" s="5" t="str">
        <f aca="false">IF(A156="","",A156+21)</f>
        <v/>
      </c>
      <c r="J156" s="18"/>
      <c r="K156" s="17" t="str">
        <f aca="true">IF(A156="","",IF(J156="Sí","Cerrado",IF(AND(H156&lt;&gt;"Sí",TODAY()&gt;=G156),"Repasar (1)",IF(AND(H156="Sí",TODAY()&gt;=I156),"Repasar (2)","En espera"))))</f>
        <v/>
      </c>
    </row>
    <row r="157" customFormat="false" ht="15" hidden="false" customHeight="false" outlineLevel="0" collapsed="false">
      <c r="A157" s="4"/>
      <c r="B157" s="18"/>
      <c r="C157" s="18"/>
      <c r="D157" s="18"/>
      <c r="E157" s="18"/>
      <c r="F157" s="18"/>
      <c r="G157" s="5" t="str">
        <f aca="false">IF(A157="","",A157+7)</f>
        <v/>
      </c>
      <c r="H157" s="18"/>
      <c r="I157" s="5" t="str">
        <f aca="false">IF(A157="","",A157+21)</f>
        <v/>
      </c>
      <c r="J157" s="18"/>
      <c r="K157" s="17" t="str">
        <f aca="true">IF(A157="","",IF(J157="Sí","Cerrado",IF(AND(H157&lt;&gt;"Sí",TODAY()&gt;=G157),"Repasar (1)",IF(AND(H157="Sí",TODAY()&gt;=I157),"Repasar (2)","En espera"))))</f>
        <v/>
      </c>
    </row>
    <row r="158" customFormat="false" ht="15" hidden="false" customHeight="false" outlineLevel="0" collapsed="false">
      <c r="A158" s="4"/>
      <c r="B158" s="18"/>
      <c r="C158" s="18"/>
      <c r="D158" s="18"/>
      <c r="E158" s="18"/>
      <c r="F158" s="18"/>
      <c r="G158" s="5" t="str">
        <f aca="false">IF(A158="","",A158+7)</f>
        <v/>
      </c>
      <c r="H158" s="18"/>
      <c r="I158" s="5" t="str">
        <f aca="false">IF(A158="","",A158+21)</f>
        <v/>
      </c>
      <c r="J158" s="18"/>
      <c r="K158" s="17" t="str">
        <f aca="true">IF(A158="","",IF(J158="Sí","Cerrado",IF(AND(H158&lt;&gt;"Sí",TODAY()&gt;=G158),"Repasar (1)",IF(AND(H158="Sí",TODAY()&gt;=I158),"Repasar (2)","En espera"))))</f>
        <v/>
      </c>
    </row>
    <row r="159" customFormat="false" ht="15" hidden="false" customHeight="false" outlineLevel="0" collapsed="false">
      <c r="A159" s="4"/>
      <c r="B159" s="18"/>
      <c r="C159" s="18"/>
      <c r="D159" s="18"/>
      <c r="E159" s="18"/>
      <c r="F159" s="18"/>
      <c r="G159" s="5" t="str">
        <f aca="false">IF(A159="","",A159+7)</f>
        <v/>
      </c>
      <c r="H159" s="18"/>
      <c r="I159" s="5" t="str">
        <f aca="false">IF(A159="","",A159+21)</f>
        <v/>
      </c>
      <c r="J159" s="18"/>
      <c r="K159" s="17" t="str">
        <f aca="true">IF(A159="","",IF(J159="Sí","Cerrado",IF(AND(H159&lt;&gt;"Sí",TODAY()&gt;=G159),"Repasar (1)",IF(AND(H159="Sí",TODAY()&gt;=I159),"Repasar (2)","En espera"))))</f>
        <v/>
      </c>
    </row>
    <row r="160" customFormat="false" ht="15" hidden="false" customHeight="false" outlineLevel="0" collapsed="false">
      <c r="A160" s="4"/>
      <c r="B160" s="18"/>
      <c r="C160" s="18"/>
      <c r="D160" s="18"/>
      <c r="E160" s="18"/>
      <c r="F160" s="18"/>
      <c r="G160" s="5" t="str">
        <f aca="false">IF(A160="","",A160+7)</f>
        <v/>
      </c>
      <c r="H160" s="18"/>
      <c r="I160" s="5" t="str">
        <f aca="false">IF(A160="","",A160+21)</f>
        <v/>
      </c>
      <c r="J160" s="18"/>
      <c r="K160" s="17" t="str">
        <f aca="true">IF(A160="","",IF(J160="Sí","Cerrado",IF(AND(H160&lt;&gt;"Sí",TODAY()&gt;=G160),"Repasar (1)",IF(AND(H160="Sí",TODAY()&gt;=I160),"Repasar (2)","En espera"))))</f>
        <v/>
      </c>
    </row>
    <row r="161" customFormat="false" ht="15" hidden="false" customHeight="false" outlineLevel="0" collapsed="false">
      <c r="A161" s="4"/>
      <c r="B161" s="18"/>
      <c r="C161" s="18"/>
      <c r="D161" s="18"/>
      <c r="E161" s="18"/>
      <c r="F161" s="18"/>
      <c r="G161" s="5" t="str">
        <f aca="false">IF(A161="","",A161+7)</f>
        <v/>
      </c>
      <c r="H161" s="18"/>
      <c r="I161" s="5" t="str">
        <f aca="false">IF(A161="","",A161+21)</f>
        <v/>
      </c>
      <c r="J161" s="18"/>
      <c r="K161" s="17" t="str">
        <f aca="true">IF(A161="","",IF(J161="Sí","Cerrado",IF(AND(H161&lt;&gt;"Sí",TODAY()&gt;=G161),"Repasar (1)",IF(AND(H161="Sí",TODAY()&gt;=I161),"Repasar (2)","En espera"))))</f>
        <v/>
      </c>
    </row>
    <row r="162" customFormat="false" ht="15" hidden="false" customHeight="false" outlineLevel="0" collapsed="false">
      <c r="A162" s="4"/>
      <c r="B162" s="18"/>
      <c r="C162" s="18"/>
      <c r="D162" s="18"/>
      <c r="E162" s="18"/>
      <c r="F162" s="18"/>
      <c r="G162" s="5" t="str">
        <f aca="false">IF(A162="","",A162+7)</f>
        <v/>
      </c>
      <c r="H162" s="18"/>
      <c r="I162" s="5" t="str">
        <f aca="false">IF(A162="","",A162+21)</f>
        <v/>
      </c>
      <c r="J162" s="18"/>
      <c r="K162" s="17" t="str">
        <f aca="true">IF(A162="","",IF(J162="Sí","Cerrado",IF(AND(H162&lt;&gt;"Sí",TODAY()&gt;=G162),"Repasar (1)",IF(AND(H162="Sí",TODAY()&gt;=I162),"Repasar (2)","En espera"))))</f>
        <v/>
      </c>
    </row>
    <row r="163" customFormat="false" ht="15" hidden="false" customHeight="false" outlineLevel="0" collapsed="false">
      <c r="A163" s="4"/>
      <c r="B163" s="18"/>
      <c r="C163" s="18"/>
      <c r="D163" s="18"/>
      <c r="E163" s="18"/>
      <c r="F163" s="18"/>
      <c r="G163" s="5" t="str">
        <f aca="false">IF(A163="","",A163+7)</f>
        <v/>
      </c>
      <c r="H163" s="18"/>
      <c r="I163" s="5" t="str">
        <f aca="false">IF(A163="","",A163+21)</f>
        <v/>
      </c>
      <c r="J163" s="18"/>
      <c r="K163" s="17" t="str">
        <f aca="true">IF(A163="","",IF(J163="Sí","Cerrado",IF(AND(H163&lt;&gt;"Sí",TODAY()&gt;=G163),"Repasar (1)",IF(AND(H163="Sí",TODAY()&gt;=I163),"Repasar (2)","En espera"))))</f>
        <v/>
      </c>
    </row>
    <row r="164" customFormat="false" ht="15" hidden="false" customHeight="false" outlineLevel="0" collapsed="false">
      <c r="A164" s="4"/>
      <c r="B164" s="18"/>
      <c r="C164" s="18"/>
      <c r="D164" s="18"/>
      <c r="E164" s="18"/>
      <c r="F164" s="18"/>
      <c r="G164" s="5" t="str">
        <f aca="false">IF(A164="","",A164+7)</f>
        <v/>
      </c>
      <c r="H164" s="18"/>
      <c r="I164" s="5" t="str">
        <f aca="false">IF(A164="","",A164+21)</f>
        <v/>
      </c>
      <c r="J164" s="18"/>
      <c r="K164" s="17" t="str">
        <f aca="true">IF(A164="","",IF(J164="Sí","Cerrado",IF(AND(H164&lt;&gt;"Sí",TODAY()&gt;=G164),"Repasar (1)",IF(AND(H164="Sí",TODAY()&gt;=I164),"Repasar (2)","En espera"))))</f>
        <v/>
      </c>
    </row>
    <row r="165" customFormat="false" ht="15" hidden="false" customHeight="false" outlineLevel="0" collapsed="false">
      <c r="A165" s="4"/>
      <c r="B165" s="18"/>
      <c r="C165" s="18"/>
      <c r="D165" s="18"/>
      <c r="E165" s="18"/>
      <c r="F165" s="18"/>
      <c r="G165" s="5" t="str">
        <f aca="false">IF(A165="","",A165+7)</f>
        <v/>
      </c>
      <c r="H165" s="18"/>
      <c r="I165" s="5" t="str">
        <f aca="false">IF(A165="","",A165+21)</f>
        <v/>
      </c>
      <c r="J165" s="18"/>
      <c r="K165" s="17" t="str">
        <f aca="true">IF(A165="","",IF(J165="Sí","Cerrado",IF(AND(H165&lt;&gt;"Sí",TODAY()&gt;=G165),"Repasar (1)",IF(AND(H165="Sí",TODAY()&gt;=I165),"Repasar (2)","En espera"))))</f>
        <v/>
      </c>
    </row>
    <row r="166" customFormat="false" ht="15" hidden="false" customHeight="false" outlineLevel="0" collapsed="false">
      <c r="A166" s="4"/>
      <c r="B166" s="18"/>
      <c r="C166" s="18"/>
      <c r="D166" s="18"/>
      <c r="E166" s="18"/>
      <c r="F166" s="18"/>
      <c r="G166" s="5" t="str">
        <f aca="false">IF(A166="","",A166+7)</f>
        <v/>
      </c>
      <c r="H166" s="18"/>
      <c r="I166" s="5" t="str">
        <f aca="false">IF(A166="","",A166+21)</f>
        <v/>
      </c>
      <c r="J166" s="18"/>
      <c r="K166" s="17" t="str">
        <f aca="true">IF(A166="","",IF(J166="Sí","Cerrado",IF(AND(H166&lt;&gt;"Sí",TODAY()&gt;=G166),"Repasar (1)",IF(AND(H166="Sí",TODAY()&gt;=I166),"Repasar (2)","En espera"))))</f>
        <v/>
      </c>
    </row>
    <row r="167" customFormat="false" ht="15" hidden="false" customHeight="false" outlineLevel="0" collapsed="false">
      <c r="A167" s="4"/>
      <c r="B167" s="18"/>
      <c r="C167" s="18"/>
      <c r="D167" s="18"/>
      <c r="E167" s="18"/>
      <c r="F167" s="18"/>
      <c r="G167" s="5" t="str">
        <f aca="false">IF(A167="","",A167+7)</f>
        <v/>
      </c>
      <c r="H167" s="18"/>
      <c r="I167" s="5" t="str">
        <f aca="false">IF(A167="","",A167+21)</f>
        <v/>
      </c>
      <c r="J167" s="18"/>
      <c r="K167" s="17" t="str">
        <f aca="true">IF(A167="","",IF(J167="Sí","Cerrado",IF(AND(H167&lt;&gt;"Sí",TODAY()&gt;=G167),"Repasar (1)",IF(AND(H167="Sí",TODAY()&gt;=I167),"Repasar (2)","En espera"))))</f>
        <v/>
      </c>
    </row>
    <row r="168" customFormat="false" ht="15" hidden="false" customHeight="false" outlineLevel="0" collapsed="false">
      <c r="A168" s="4"/>
      <c r="B168" s="18"/>
      <c r="C168" s="18"/>
      <c r="D168" s="18"/>
      <c r="E168" s="18"/>
      <c r="F168" s="18"/>
      <c r="G168" s="5" t="str">
        <f aca="false">IF(A168="","",A168+7)</f>
        <v/>
      </c>
      <c r="H168" s="18"/>
      <c r="I168" s="5" t="str">
        <f aca="false">IF(A168="","",A168+21)</f>
        <v/>
      </c>
      <c r="J168" s="18"/>
      <c r="K168" s="17" t="str">
        <f aca="true">IF(A168="","",IF(J168="Sí","Cerrado",IF(AND(H168&lt;&gt;"Sí",TODAY()&gt;=G168),"Repasar (1)",IF(AND(H168="Sí",TODAY()&gt;=I168),"Repasar (2)","En espera"))))</f>
        <v/>
      </c>
    </row>
    <row r="169" customFormat="false" ht="15" hidden="false" customHeight="false" outlineLevel="0" collapsed="false">
      <c r="A169" s="4"/>
      <c r="B169" s="18"/>
      <c r="C169" s="18"/>
      <c r="D169" s="18"/>
      <c r="E169" s="18"/>
      <c r="F169" s="18"/>
      <c r="G169" s="5" t="str">
        <f aca="false">IF(A169="","",A169+7)</f>
        <v/>
      </c>
      <c r="H169" s="18"/>
      <c r="I169" s="5" t="str">
        <f aca="false">IF(A169="","",A169+21)</f>
        <v/>
      </c>
      <c r="J169" s="18"/>
      <c r="K169" s="17" t="str">
        <f aca="true">IF(A169="","",IF(J169="Sí","Cerrado",IF(AND(H169&lt;&gt;"Sí",TODAY()&gt;=G169),"Repasar (1)",IF(AND(H169="Sí",TODAY()&gt;=I169),"Repasar (2)","En espera"))))</f>
        <v/>
      </c>
    </row>
    <row r="170" customFormat="false" ht="15" hidden="false" customHeight="false" outlineLevel="0" collapsed="false">
      <c r="A170" s="4"/>
      <c r="B170" s="18"/>
      <c r="C170" s="18"/>
      <c r="D170" s="18"/>
      <c r="E170" s="18"/>
      <c r="F170" s="18"/>
      <c r="G170" s="5" t="str">
        <f aca="false">IF(A170="","",A170+7)</f>
        <v/>
      </c>
      <c r="H170" s="18"/>
      <c r="I170" s="5" t="str">
        <f aca="false">IF(A170="","",A170+21)</f>
        <v/>
      </c>
      <c r="J170" s="18"/>
      <c r="K170" s="17" t="str">
        <f aca="true">IF(A170="","",IF(J170="Sí","Cerrado",IF(AND(H170&lt;&gt;"Sí",TODAY()&gt;=G170),"Repasar (1)",IF(AND(H170="Sí",TODAY()&gt;=I170),"Repasar (2)","En espera"))))</f>
        <v/>
      </c>
    </row>
    <row r="171" customFormat="false" ht="15" hidden="false" customHeight="false" outlineLevel="0" collapsed="false">
      <c r="A171" s="4"/>
      <c r="B171" s="18"/>
      <c r="C171" s="18"/>
      <c r="D171" s="18"/>
      <c r="E171" s="18"/>
      <c r="F171" s="18"/>
      <c r="G171" s="5" t="str">
        <f aca="false">IF(A171="","",A171+7)</f>
        <v/>
      </c>
      <c r="H171" s="18"/>
      <c r="I171" s="5" t="str">
        <f aca="false">IF(A171="","",A171+21)</f>
        <v/>
      </c>
      <c r="J171" s="18"/>
      <c r="K171" s="17" t="str">
        <f aca="true">IF(A171="","",IF(J171="Sí","Cerrado",IF(AND(H171&lt;&gt;"Sí",TODAY()&gt;=G171),"Repasar (1)",IF(AND(H171="Sí",TODAY()&gt;=I171),"Repasar (2)","En espera"))))</f>
        <v/>
      </c>
    </row>
    <row r="172" customFormat="false" ht="15" hidden="false" customHeight="false" outlineLevel="0" collapsed="false">
      <c r="A172" s="4"/>
      <c r="B172" s="18"/>
      <c r="C172" s="18"/>
      <c r="D172" s="18"/>
      <c r="E172" s="18"/>
      <c r="F172" s="18"/>
      <c r="G172" s="5" t="str">
        <f aca="false">IF(A172="","",A172+7)</f>
        <v/>
      </c>
      <c r="H172" s="18"/>
      <c r="I172" s="5" t="str">
        <f aca="false">IF(A172="","",A172+21)</f>
        <v/>
      </c>
      <c r="J172" s="18"/>
      <c r="K172" s="17" t="str">
        <f aca="true">IF(A172="","",IF(J172="Sí","Cerrado",IF(AND(H172&lt;&gt;"Sí",TODAY()&gt;=G172),"Repasar (1)",IF(AND(H172="Sí",TODAY()&gt;=I172),"Repasar (2)","En espera"))))</f>
        <v/>
      </c>
    </row>
    <row r="173" customFormat="false" ht="15" hidden="false" customHeight="false" outlineLevel="0" collapsed="false">
      <c r="A173" s="4"/>
      <c r="B173" s="18"/>
      <c r="C173" s="18"/>
      <c r="D173" s="18"/>
      <c r="E173" s="18"/>
      <c r="F173" s="18"/>
      <c r="G173" s="5" t="str">
        <f aca="false">IF(A173="","",A173+7)</f>
        <v/>
      </c>
      <c r="H173" s="18"/>
      <c r="I173" s="5" t="str">
        <f aca="false">IF(A173="","",A173+21)</f>
        <v/>
      </c>
      <c r="J173" s="18"/>
      <c r="K173" s="17" t="str">
        <f aca="true">IF(A173="","",IF(J173="Sí","Cerrado",IF(AND(H173&lt;&gt;"Sí",TODAY()&gt;=G173),"Repasar (1)",IF(AND(H173="Sí",TODAY()&gt;=I173),"Repasar (2)","En espera"))))</f>
        <v/>
      </c>
    </row>
    <row r="174" customFormat="false" ht="15" hidden="false" customHeight="false" outlineLevel="0" collapsed="false">
      <c r="A174" s="4"/>
      <c r="B174" s="18"/>
      <c r="C174" s="18"/>
      <c r="D174" s="18"/>
      <c r="E174" s="18"/>
      <c r="F174" s="18"/>
      <c r="G174" s="5" t="str">
        <f aca="false">IF(A174="","",A174+7)</f>
        <v/>
      </c>
      <c r="H174" s="18"/>
      <c r="I174" s="5" t="str">
        <f aca="false">IF(A174="","",A174+21)</f>
        <v/>
      </c>
      <c r="J174" s="18"/>
      <c r="K174" s="17" t="str">
        <f aca="true">IF(A174="","",IF(J174="Sí","Cerrado",IF(AND(H174&lt;&gt;"Sí",TODAY()&gt;=G174),"Repasar (1)",IF(AND(H174="Sí",TODAY()&gt;=I174),"Repasar (2)","En espera"))))</f>
        <v/>
      </c>
    </row>
    <row r="175" customFormat="false" ht="15" hidden="false" customHeight="false" outlineLevel="0" collapsed="false">
      <c r="A175" s="4"/>
      <c r="B175" s="18"/>
      <c r="C175" s="18"/>
      <c r="D175" s="18"/>
      <c r="E175" s="18"/>
      <c r="F175" s="18"/>
      <c r="G175" s="5" t="str">
        <f aca="false">IF(A175="","",A175+7)</f>
        <v/>
      </c>
      <c r="H175" s="18"/>
      <c r="I175" s="5" t="str">
        <f aca="false">IF(A175="","",A175+21)</f>
        <v/>
      </c>
      <c r="J175" s="18"/>
      <c r="K175" s="17" t="str">
        <f aca="true">IF(A175="","",IF(J175="Sí","Cerrado",IF(AND(H175&lt;&gt;"Sí",TODAY()&gt;=G175),"Repasar (1)",IF(AND(H175="Sí",TODAY()&gt;=I175),"Repasar (2)","En espera"))))</f>
        <v/>
      </c>
    </row>
    <row r="176" customFormat="false" ht="15" hidden="false" customHeight="false" outlineLevel="0" collapsed="false">
      <c r="A176" s="4"/>
      <c r="B176" s="18"/>
      <c r="C176" s="18"/>
      <c r="D176" s="18"/>
      <c r="E176" s="18"/>
      <c r="F176" s="18"/>
      <c r="G176" s="5" t="str">
        <f aca="false">IF(A176="","",A176+7)</f>
        <v/>
      </c>
      <c r="H176" s="18"/>
      <c r="I176" s="5" t="str">
        <f aca="false">IF(A176="","",A176+21)</f>
        <v/>
      </c>
      <c r="J176" s="18"/>
      <c r="K176" s="17" t="str">
        <f aca="true">IF(A176="","",IF(J176="Sí","Cerrado",IF(AND(H176&lt;&gt;"Sí",TODAY()&gt;=G176),"Repasar (1)",IF(AND(H176="Sí",TODAY()&gt;=I176),"Repasar (2)","En espera"))))</f>
        <v/>
      </c>
    </row>
    <row r="177" customFormat="false" ht="15" hidden="false" customHeight="false" outlineLevel="0" collapsed="false">
      <c r="A177" s="4"/>
      <c r="B177" s="18"/>
      <c r="C177" s="18"/>
      <c r="D177" s="18"/>
      <c r="E177" s="18"/>
      <c r="F177" s="18"/>
      <c r="G177" s="5" t="str">
        <f aca="false">IF(A177="","",A177+7)</f>
        <v/>
      </c>
      <c r="H177" s="18"/>
      <c r="I177" s="5" t="str">
        <f aca="false">IF(A177="","",A177+21)</f>
        <v/>
      </c>
      <c r="J177" s="18"/>
      <c r="K177" s="17" t="str">
        <f aca="true">IF(A177="","",IF(J177="Sí","Cerrado",IF(AND(H177&lt;&gt;"Sí",TODAY()&gt;=G177),"Repasar (1)",IF(AND(H177="Sí",TODAY()&gt;=I177),"Repasar (2)","En espera"))))</f>
        <v/>
      </c>
    </row>
    <row r="178" customFormat="false" ht="15" hidden="false" customHeight="false" outlineLevel="0" collapsed="false">
      <c r="A178" s="4"/>
      <c r="B178" s="18"/>
      <c r="C178" s="18"/>
      <c r="D178" s="18"/>
      <c r="E178" s="18"/>
      <c r="F178" s="18"/>
      <c r="G178" s="5" t="str">
        <f aca="false">IF(A178="","",A178+7)</f>
        <v/>
      </c>
      <c r="H178" s="18"/>
      <c r="I178" s="5" t="str">
        <f aca="false">IF(A178="","",A178+21)</f>
        <v/>
      </c>
      <c r="J178" s="18"/>
      <c r="K178" s="17" t="str">
        <f aca="true">IF(A178="","",IF(J178="Sí","Cerrado",IF(AND(H178&lt;&gt;"Sí",TODAY()&gt;=G178),"Repasar (1)",IF(AND(H178="Sí",TODAY()&gt;=I178),"Repasar (2)","En espera"))))</f>
        <v/>
      </c>
    </row>
    <row r="179" customFormat="false" ht="15" hidden="false" customHeight="false" outlineLevel="0" collapsed="false">
      <c r="A179" s="4"/>
      <c r="B179" s="18"/>
      <c r="C179" s="18"/>
      <c r="D179" s="18"/>
      <c r="E179" s="18"/>
      <c r="F179" s="18"/>
      <c r="G179" s="5" t="str">
        <f aca="false">IF(A179="","",A179+7)</f>
        <v/>
      </c>
      <c r="H179" s="18"/>
      <c r="I179" s="5" t="str">
        <f aca="false">IF(A179="","",A179+21)</f>
        <v/>
      </c>
      <c r="J179" s="18"/>
      <c r="K179" s="17" t="str">
        <f aca="true">IF(A179="","",IF(J179="Sí","Cerrado",IF(AND(H179&lt;&gt;"Sí",TODAY()&gt;=G179),"Repasar (1)",IF(AND(H179="Sí",TODAY()&gt;=I179),"Repasar (2)","En espera"))))</f>
        <v/>
      </c>
    </row>
    <row r="180" customFormat="false" ht="15" hidden="false" customHeight="false" outlineLevel="0" collapsed="false">
      <c r="A180" s="4"/>
      <c r="B180" s="18"/>
      <c r="C180" s="18"/>
      <c r="D180" s="18"/>
      <c r="E180" s="18"/>
      <c r="F180" s="18"/>
      <c r="G180" s="5" t="str">
        <f aca="false">IF(A180="","",A180+7)</f>
        <v/>
      </c>
      <c r="H180" s="18"/>
      <c r="I180" s="5" t="str">
        <f aca="false">IF(A180="","",A180+21)</f>
        <v/>
      </c>
      <c r="J180" s="18"/>
      <c r="K180" s="17" t="str">
        <f aca="true">IF(A180="","",IF(J180="Sí","Cerrado",IF(AND(H180&lt;&gt;"Sí",TODAY()&gt;=G180),"Repasar (1)",IF(AND(H180="Sí",TODAY()&gt;=I180),"Repasar (2)","En espera"))))</f>
        <v/>
      </c>
    </row>
    <row r="181" customFormat="false" ht="15" hidden="false" customHeight="false" outlineLevel="0" collapsed="false">
      <c r="A181" s="4"/>
      <c r="B181" s="18"/>
      <c r="C181" s="18"/>
      <c r="D181" s="18"/>
      <c r="E181" s="18"/>
      <c r="F181" s="18"/>
      <c r="G181" s="5" t="str">
        <f aca="false">IF(A181="","",A181+7)</f>
        <v/>
      </c>
      <c r="H181" s="18"/>
      <c r="I181" s="5" t="str">
        <f aca="false">IF(A181="","",A181+21)</f>
        <v/>
      </c>
      <c r="J181" s="18"/>
      <c r="K181" s="17" t="str">
        <f aca="true">IF(A181="","",IF(J181="Sí","Cerrado",IF(AND(H181&lt;&gt;"Sí",TODAY()&gt;=G181),"Repasar (1)",IF(AND(H181="Sí",TODAY()&gt;=I181),"Repasar (2)","En espera"))))</f>
        <v/>
      </c>
    </row>
    <row r="182" customFormat="false" ht="15" hidden="false" customHeight="false" outlineLevel="0" collapsed="false">
      <c r="A182" s="4"/>
      <c r="B182" s="18"/>
      <c r="C182" s="18"/>
      <c r="D182" s="18"/>
      <c r="E182" s="18"/>
      <c r="F182" s="18"/>
      <c r="G182" s="5" t="str">
        <f aca="false">IF(A182="","",A182+7)</f>
        <v/>
      </c>
      <c r="H182" s="18"/>
      <c r="I182" s="5" t="str">
        <f aca="false">IF(A182="","",A182+21)</f>
        <v/>
      </c>
      <c r="J182" s="18"/>
      <c r="K182" s="17" t="str">
        <f aca="true">IF(A182="","",IF(J182="Sí","Cerrado",IF(AND(H182&lt;&gt;"Sí",TODAY()&gt;=G182),"Repasar (1)",IF(AND(H182="Sí",TODAY()&gt;=I182),"Repasar (2)","En espera"))))</f>
        <v/>
      </c>
    </row>
    <row r="183" customFormat="false" ht="15" hidden="false" customHeight="false" outlineLevel="0" collapsed="false">
      <c r="A183" s="4"/>
      <c r="B183" s="18"/>
      <c r="C183" s="18"/>
      <c r="D183" s="18"/>
      <c r="E183" s="18"/>
      <c r="F183" s="18"/>
      <c r="G183" s="5" t="str">
        <f aca="false">IF(A183="","",A183+7)</f>
        <v/>
      </c>
      <c r="H183" s="18"/>
      <c r="I183" s="5" t="str">
        <f aca="false">IF(A183="","",A183+21)</f>
        <v/>
      </c>
      <c r="J183" s="18"/>
      <c r="K183" s="17" t="str">
        <f aca="true">IF(A183="","",IF(J183="Sí","Cerrado",IF(AND(H183&lt;&gt;"Sí",TODAY()&gt;=G183),"Repasar (1)",IF(AND(H183="Sí",TODAY()&gt;=I183),"Repasar (2)","En espera"))))</f>
        <v/>
      </c>
    </row>
    <row r="184" customFormat="false" ht="15" hidden="false" customHeight="false" outlineLevel="0" collapsed="false">
      <c r="A184" s="4"/>
      <c r="B184" s="18"/>
      <c r="C184" s="18"/>
      <c r="D184" s="18"/>
      <c r="E184" s="18"/>
      <c r="F184" s="18"/>
      <c r="G184" s="5" t="str">
        <f aca="false">IF(A184="","",A184+7)</f>
        <v/>
      </c>
      <c r="H184" s="18"/>
      <c r="I184" s="5" t="str">
        <f aca="false">IF(A184="","",A184+21)</f>
        <v/>
      </c>
      <c r="J184" s="18"/>
      <c r="K184" s="17" t="str">
        <f aca="true">IF(A184="","",IF(J184="Sí","Cerrado",IF(AND(H184&lt;&gt;"Sí",TODAY()&gt;=G184),"Repasar (1)",IF(AND(H184="Sí",TODAY()&gt;=I184),"Repasar (2)","En espera"))))</f>
        <v/>
      </c>
    </row>
    <row r="185" customFormat="false" ht="15" hidden="false" customHeight="false" outlineLevel="0" collapsed="false">
      <c r="A185" s="4"/>
      <c r="B185" s="18"/>
      <c r="C185" s="18"/>
      <c r="D185" s="18"/>
      <c r="E185" s="18"/>
      <c r="F185" s="18"/>
      <c r="G185" s="5" t="str">
        <f aca="false">IF(A185="","",A185+7)</f>
        <v/>
      </c>
      <c r="H185" s="18"/>
      <c r="I185" s="5" t="str">
        <f aca="false">IF(A185="","",A185+21)</f>
        <v/>
      </c>
      <c r="J185" s="18"/>
      <c r="K185" s="17" t="str">
        <f aca="true">IF(A185="","",IF(J185="Sí","Cerrado",IF(AND(H185&lt;&gt;"Sí",TODAY()&gt;=G185),"Repasar (1)",IF(AND(H185="Sí",TODAY()&gt;=I185),"Repasar (2)","En espera"))))</f>
        <v/>
      </c>
    </row>
    <row r="186" customFormat="false" ht="15" hidden="false" customHeight="false" outlineLevel="0" collapsed="false">
      <c r="A186" s="4"/>
      <c r="B186" s="18"/>
      <c r="C186" s="18"/>
      <c r="D186" s="18"/>
      <c r="E186" s="18"/>
      <c r="F186" s="18"/>
      <c r="G186" s="5" t="str">
        <f aca="false">IF(A186="","",A186+7)</f>
        <v/>
      </c>
      <c r="H186" s="18"/>
      <c r="I186" s="5" t="str">
        <f aca="false">IF(A186="","",A186+21)</f>
        <v/>
      </c>
      <c r="J186" s="18"/>
      <c r="K186" s="17" t="str">
        <f aca="true">IF(A186="","",IF(J186="Sí","Cerrado",IF(AND(H186&lt;&gt;"Sí",TODAY()&gt;=G186),"Repasar (1)",IF(AND(H186="Sí",TODAY()&gt;=I186),"Repasar (2)","En espera"))))</f>
        <v/>
      </c>
    </row>
    <row r="187" customFormat="false" ht="15" hidden="false" customHeight="false" outlineLevel="0" collapsed="false">
      <c r="A187" s="4"/>
      <c r="B187" s="18"/>
      <c r="C187" s="18"/>
      <c r="D187" s="18"/>
      <c r="E187" s="18"/>
      <c r="F187" s="18"/>
      <c r="G187" s="5" t="str">
        <f aca="false">IF(A187="","",A187+7)</f>
        <v/>
      </c>
      <c r="H187" s="18"/>
      <c r="I187" s="5" t="str">
        <f aca="false">IF(A187="","",A187+21)</f>
        <v/>
      </c>
      <c r="J187" s="18"/>
      <c r="K187" s="17" t="str">
        <f aca="true">IF(A187="","",IF(J187="Sí","Cerrado",IF(AND(H187&lt;&gt;"Sí",TODAY()&gt;=G187),"Repasar (1)",IF(AND(H187="Sí",TODAY()&gt;=I187),"Repasar (2)","En espera"))))</f>
        <v/>
      </c>
    </row>
    <row r="188" customFormat="false" ht="15" hidden="false" customHeight="false" outlineLevel="0" collapsed="false">
      <c r="A188" s="4"/>
      <c r="B188" s="18"/>
      <c r="C188" s="18"/>
      <c r="D188" s="18"/>
      <c r="E188" s="18"/>
      <c r="F188" s="18"/>
      <c r="G188" s="5" t="str">
        <f aca="false">IF(A188="","",A188+7)</f>
        <v/>
      </c>
      <c r="H188" s="18"/>
      <c r="I188" s="5" t="str">
        <f aca="false">IF(A188="","",A188+21)</f>
        <v/>
      </c>
      <c r="J188" s="18"/>
      <c r="K188" s="17" t="str">
        <f aca="true">IF(A188="","",IF(J188="Sí","Cerrado",IF(AND(H188&lt;&gt;"Sí",TODAY()&gt;=G188),"Repasar (1)",IF(AND(H188="Sí",TODAY()&gt;=I188),"Repasar (2)","En espera"))))</f>
        <v/>
      </c>
    </row>
    <row r="189" customFormat="false" ht="15" hidden="false" customHeight="false" outlineLevel="0" collapsed="false">
      <c r="A189" s="4"/>
      <c r="B189" s="18"/>
      <c r="C189" s="18"/>
      <c r="D189" s="18"/>
      <c r="E189" s="18"/>
      <c r="F189" s="18"/>
      <c r="G189" s="5" t="str">
        <f aca="false">IF(A189="","",A189+7)</f>
        <v/>
      </c>
      <c r="H189" s="18"/>
      <c r="I189" s="5" t="str">
        <f aca="false">IF(A189="","",A189+21)</f>
        <v/>
      </c>
      <c r="J189" s="18"/>
      <c r="K189" s="17" t="str">
        <f aca="true">IF(A189="","",IF(J189="Sí","Cerrado",IF(AND(H189&lt;&gt;"Sí",TODAY()&gt;=G189),"Repasar (1)",IF(AND(H189="Sí",TODAY()&gt;=I189),"Repasar (2)","En espera"))))</f>
        <v/>
      </c>
    </row>
    <row r="190" customFormat="false" ht="15" hidden="false" customHeight="false" outlineLevel="0" collapsed="false">
      <c r="A190" s="4"/>
      <c r="B190" s="18"/>
      <c r="C190" s="18"/>
      <c r="D190" s="18"/>
      <c r="E190" s="18"/>
      <c r="F190" s="18"/>
      <c r="G190" s="5" t="str">
        <f aca="false">IF(A190="","",A190+7)</f>
        <v/>
      </c>
      <c r="H190" s="18"/>
      <c r="I190" s="5" t="str">
        <f aca="false">IF(A190="","",A190+21)</f>
        <v/>
      </c>
      <c r="J190" s="18"/>
      <c r="K190" s="17" t="str">
        <f aca="true">IF(A190="","",IF(J190="Sí","Cerrado",IF(AND(H190&lt;&gt;"Sí",TODAY()&gt;=G190),"Repasar (1)",IF(AND(H190="Sí",TODAY()&gt;=I190),"Repasar (2)","En espera"))))</f>
        <v/>
      </c>
    </row>
    <row r="191" customFormat="false" ht="15" hidden="false" customHeight="false" outlineLevel="0" collapsed="false">
      <c r="A191" s="4"/>
      <c r="B191" s="18"/>
      <c r="C191" s="18"/>
      <c r="D191" s="18"/>
      <c r="E191" s="18"/>
      <c r="F191" s="18"/>
      <c r="G191" s="5" t="str">
        <f aca="false">IF(A191="","",A191+7)</f>
        <v/>
      </c>
      <c r="H191" s="18"/>
      <c r="I191" s="5" t="str">
        <f aca="false">IF(A191="","",A191+21)</f>
        <v/>
      </c>
      <c r="J191" s="18"/>
      <c r="K191" s="17" t="str">
        <f aca="true">IF(A191="","",IF(J191="Sí","Cerrado",IF(AND(H191&lt;&gt;"Sí",TODAY()&gt;=G191),"Repasar (1)",IF(AND(H191="Sí",TODAY()&gt;=I191),"Repasar (2)","En espera"))))</f>
        <v/>
      </c>
    </row>
    <row r="192" customFormat="false" ht="15" hidden="false" customHeight="false" outlineLevel="0" collapsed="false">
      <c r="A192" s="4"/>
      <c r="B192" s="18"/>
      <c r="C192" s="18"/>
      <c r="D192" s="18"/>
      <c r="E192" s="18"/>
      <c r="F192" s="18"/>
      <c r="G192" s="5" t="str">
        <f aca="false">IF(A192="","",A192+7)</f>
        <v/>
      </c>
      <c r="H192" s="18"/>
      <c r="I192" s="5" t="str">
        <f aca="false">IF(A192="","",A192+21)</f>
        <v/>
      </c>
      <c r="J192" s="18"/>
      <c r="K192" s="17" t="str">
        <f aca="true">IF(A192="","",IF(J192="Sí","Cerrado",IF(AND(H192&lt;&gt;"Sí",TODAY()&gt;=G192),"Repasar (1)",IF(AND(H192="Sí",TODAY()&gt;=I192),"Repasar (2)","En espera"))))</f>
        <v/>
      </c>
    </row>
    <row r="193" customFormat="false" ht="15" hidden="false" customHeight="false" outlineLevel="0" collapsed="false">
      <c r="A193" s="4"/>
      <c r="B193" s="18"/>
      <c r="C193" s="18"/>
      <c r="D193" s="18"/>
      <c r="E193" s="18"/>
      <c r="F193" s="18"/>
      <c r="G193" s="5" t="str">
        <f aca="false">IF(A193="","",A193+7)</f>
        <v/>
      </c>
      <c r="H193" s="18"/>
      <c r="I193" s="5" t="str">
        <f aca="false">IF(A193="","",A193+21)</f>
        <v/>
      </c>
      <c r="J193" s="18"/>
      <c r="K193" s="17" t="str">
        <f aca="true">IF(A193="","",IF(J193="Sí","Cerrado",IF(AND(H193&lt;&gt;"Sí",TODAY()&gt;=G193),"Repasar (1)",IF(AND(H193="Sí",TODAY()&gt;=I193),"Repasar (2)","En espera"))))</f>
        <v/>
      </c>
    </row>
    <row r="194" customFormat="false" ht="15" hidden="false" customHeight="false" outlineLevel="0" collapsed="false">
      <c r="A194" s="4"/>
      <c r="B194" s="18"/>
      <c r="C194" s="18"/>
      <c r="D194" s="18"/>
      <c r="E194" s="18"/>
      <c r="F194" s="18"/>
      <c r="G194" s="5" t="str">
        <f aca="false">IF(A194="","",A194+7)</f>
        <v/>
      </c>
      <c r="H194" s="18"/>
      <c r="I194" s="5" t="str">
        <f aca="false">IF(A194="","",A194+21)</f>
        <v/>
      </c>
      <c r="J194" s="18"/>
      <c r="K194" s="17" t="str">
        <f aca="true">IF(A194="","",IF(J194="Sí","Cerrado",IF(AND(H194&lt;&gt;"Sí",TODAY()&gt;=G194),"Repasar (1)",IF(AND(H194="Sí",TODAY()&gt;=I194),"Repasar (2)","En espera"))))</f>
        <v/>
      </c>
    </row>
    <row r="195" customFormat="false" ht="15" hidden="false" customHeight="false" outlineLevel="0" collapsed="false">
      <c r="A195" s="4"/>
      <c r="B195" s="18"/>
      <c r="C195" s="18"/>
      <c r="D195" s="18"/>
      <c r="E195" s="18"/>
      <c r="F195" s="18"/>
      <c r="G195" s="5" t="str">
        <f aca="false">IF(A195="","",A195+7)</f>
        <v/>
      </c>
      <c r="H195" s="18"/>
      <c r="I195" s="5" t="str">
        <f aca="false">IF(A195="","",A195+21)</f>
        <v/>
      </c>
      <c r="J195" s="18"/>
      <c r="K195" s="17" t="str">
        <f aca="true">IF(A195="","",IF(J195="Sí","Cerrado",IF(AND(H195&lt;&gt;"Sí",TODAY()&gt;=G195),"Repasar (1)",IF(AND(H195="Sí",TODAY()&gt;=I195),"Repasar (2)","En espera"))))</f>
        <v/>
      </c>
    </row>
    <row r="196" customFormat="false" ht="15" hidden="false" customHeight="false" outlineLevel="0" collapsed="false">
      <c r="A196" s="4"/>
      <c r="B196" s="18"/>
      <c r="C196" s="18"/>
      <c r="D196" s="18"/>
      <c r="E196" s="18"/>
      <c r="F196" s="18"/>
      <c r="G196" s="5" t="str">
        <f aca="false">IF(A196="","",A196+7)</f>
        <v/>
      </c>
      <c r="H196" s="18"/>
      <c r="I196" s="5" t="str">
        <f aca="false">IF(A196="","",A196+21)</f>
        <v/>
      </c>
      <c r="J196" s="18"/>
      <c r="K196" s="17" t="str">
        <f aca="true">IF(A196="","",IF(J196="Sí","Cerrado",IF(AND(H196&lt;&gt;"Sí",TODAY()&gt;=G196),"Repasar (1)",IF(AND(H196="Sí",TODAY()&gt;=I196),"Repasar (2)","En espera"))))</f>
        <v/>
      </c>
    </row>
    <row r="197" customFormat="false" ht="15" hidden="false" customHeight="false" outlineLevel="0" collapsed="false">
      <c r="A197" s="4"/>
      <c r="B197" s="18"/>
      <c r="C197" s="18"/>
      <c r="D197" s="18"/>
      <c r="E197" s="18"/>
      <c r="F197" s="18"/>
      <c r="G197" s="5" t="str">
        <f aca="false">IF(A197="","",A197+7)</f>
        <v/>
      </c>
      <c r="H197" s="18"/>
      <c r="I197" s="5" t="str">
        <f aca="false">IF(A197="","",A197+21)</f>
        <v/>
      </c>
      <c r="J197" s="18"/>
      <c r="K197" s="17" t="str">
        <f aca="true">IF(A197="","",IF(J197="Sí","Cerrado",IF(AND(H197&lt;&gt;"Sí",TODAY()&gt;=G197),"Repasar (1)",IF(AND(H197="Sí",TODAY()&gt;=I197),"Repasar (2)","En espera"))))</f>
        <v/>
      </c>
    </row>
    <row r="198" customFormat="false" ht="15" hidden="false" customHeight="false" outlineLevel="0" collapsed="false">
      <c r="A198" s="4"/>
      <c r="B198" s="18"/>
      <c r="C198" s="18"/>
      <c r="D198" s="18"/>
      <c r="E198" s="18"/>
      <c r="F198" s="18"/>
      <c r="G198" s="5" t="str">
        <f aca="false">IF(A198="","",A198+7)</f>
        <v/>
      </c>
      <c r="H198" s="18"/>
      <c r="I198" s="5" t="str">
        <f aca="false">IF(A198="","",A198+21)</f>
        <v/>
      </c>
      <c r="J198" s="18"/>
      <c r="K198" s="17" t="str">
        <f aca="true">IF(A198="","",IF(J198="Sí","Cerrado",IF(AND(H198&lt;&gt;"Sí",TODAY()&gt;=G198),"Repasar (1)",IF(AND(H198="Sí",TODAY()&gt;=I198),"Repasar (2)","En espera"))))</f>
        <v/>
      </c>
    </row>
    <row r="199" customFormat="false" ht="15" hidden="false" customHeight="false" outlineLevel="0" collapsed="false">
      <c r="A199" s="4"/>
      <c r="B199" s="18"/>
      <c r="C199" s="18"/>
      <c r="D199" s="18"/>
      <c r="E199" s="18"/>
      <c r="F199" s="18"/>
      <c r="G199" s="5" t="str">
        <f aca="false">IF(A199="","",A199+7)</f>
        <v/>
      </c>
      <c r="H199" s="18"/>
      <c r="I199" s="5" t="str">
        <f aca="false">IF(A199="","",A199+21)</f>
        <v/>
      </c>
      <c r="J199" s="18"/>
      <c r="K199" s="17" t="str">
        <f aca="true">IF(A199="","",IF(J199="Sí","Cerrado",IF(AND(H199&lt;&gt;"Sí",TODAY()&gt;=G199),"Repasar (1)",IF(AND(H199="Sí",TODAY()&gt;=I199),"Repasar (2)","En espera"))))</f>
        <v/>
      </c>
    </row>
    <row r="200" customFormat="false" ht="15" hidden="false" customHeight="false" outlineLevel="0" collapsed="false">
      <c r="A200" s="4"/>
      <c r="B200" s="18"/>
      <c r="C200" s="18"/>
      <c r="D200" s="18"/>
      <c r="E200" s="18"/>
      <c r="F200" s="18"/>
      <c r="G200" s="5" t="str">
        <f aca="false">IF(A200="","",A200+7)</f>
        <v/>
      </c>
      <c r="H200" s="18"/>
      <c r="I200" s="5" t="str">
        <f aca="false">IF(A200="","",A200+21)</f>
        <v/>
      </c>
      <c r="J200" s="18"/>
      <c r="K200" s="17" t="str">
        <f aca="true">IF(A200="","",IF(J200="Sí","Cerrado",IF(AND(H200&lt;&gt;"Sí",TODAY()&gt;=G200),"Repasar (1)",IF(AND(H200="Sí",TODAY()&gt;=I200),"Repasar (2)","En espera"))))</f>
        <v/>
      </c>
    </row>
    <row r="201" customFormat="false" ht="15" hidden="false" customHeight="false" outlineLevel="0" collapsed="false">
      <c r="A201" s="4"/>
      <c r="B201" s="18"/>
      <c r="C201" s="18"/>
      <c r="D201" s="18"/>
      <c r="E201" s="18"/>
      <c r="F201" s="18"/>
      <c r="G201" s="5" t="str">
        <f aca="false">IF(A201="","",A201+7)</f>
        <v/>
      </c>
      <c r="H201" s="18"/>
      <c r="I201" s="5" t="str">
        <f aca="false">IF(A201="","",A201+21)</f>
        <v/>
      </c>
      <c r="J201" s="18"/>
      <c r="K201" s="17" t="str">
        <f aca="true">IF(A201="","",IF(J201="Sí","Cerrado",IF(AND(H201&lt;&gt;"Sí",TODAY()&gt;=G201),"Repasar (1)",IF(AND(H201="Sí",TODAY()&gt;=I201),"Repasar (2)","En espera"))))</f>
        <v/>
      </c>
    </row>
    <row r="202" customFormat="false" ht="15" hidden="false" customHeight="false" outlineLevel="0" collapsed="false">
      <c r="A202" s="4"/>
      <c r="B202" s="18"/>
      <c r="C202" s="18"/>
      <c r="D202" s="18"/>
      <c r="E202" s="18"/>
      <c r="F202" s="18"/>
      <c r="G202" s="5" t="str">
        <f aca="false">IF(A202="","",A202+7)</f>
        <v/>
      </c>
      <c r="H202" s="18"/>
      <c r="I202" s="5" t="str">
        <f aca="false">IF(A202="","",A202+21)</f>
        <v/>
      </c>
      <c r="J202" s="18"/>
      <c r="K202" s="17" t="str">
        <f aca="true">IF(A202="","",IF(J202="Sí","Cerrado",IF(AND(H202&lt;&gt;"Sí",TODAY()&gt;=G202),"Repasar (1)",IF(AND(H202="Sí",TODAY()&gt;=I202),"Repasar (2)","En espera"))))</f>
        <v/>
      </c>
    </row>
    <row r="203" customFormat="false" ht="15" hidden="false" customHeight="false" outlineLevel="0" collapsed="false">
      <c r="A203" s="4"/>
      <c r="B203" s="18"/>
      <c r="C203" s="18"/>
      <c r="D203" s="18"/>
      <c r="E203" s="18"/>
      <c r="F203" s="18"/>
      <c r="G203" s="5" t="str">
        <f aca="false">IF(A203="","",A203+7)</f>
        <v/>
      </c>
      <c r="H203" s="18"/>
      <c r="I203" s="5" t="str">
        <f aca="false">IF(A203="","",A203+21)</f>
        <v/>
      </c>
      <c r="J203" s="18"/>
      <c r="K203" s="17" t="str">
        <f aca="true">IF(A203="","",IF(J203="Sí","Cerrado",IF(AND(H203&lt;&gt;"Sí",TODAY()&gt;=G203),"Repasar (1)",IF(AND(H203="Sí",TODAY()&gt;=I203),"Repasar (2)","En espera"))))</f>
        <v/>
      </c>
    </row>
    <row r="204" customFormat="false" ht="15" hidden="false" customHeight="false" outlineLevel="0" collapsed="false">
      <c r="A204" s="4"/>
      <c r="B204" s="18"/>
      <c r="C204" s="18"/>
      <c r="D204" s="18"/>
      <c r="E204" s="18"/>
      <c r="F204" s="18"/>
      <c r="G204" s="5" t="str">
        <f aca="false">IF(A204="","",A204+7)</f>
        <v/>
      </c>
      <c r="H204" s="18"/>
      <c r="I204" s="5" t="str">
        <f aca="false">IF(A204="","",A204+21)</f>
        <v/>
      </c>
      <c r="J204" s="18"/>
      <c r="K204" s="17" t="str">
        <f aca="true">IF(A204="","",IF(J204="Sí","Cerrado",IF(AND(H204&lt;&gt;"Sí",TODAY()&gt;=G204),"Repasar (1)",IF(AND(H204="Sí",TODAY()&gt;=I204),"Repasar (2)","En espera"))))</f>
        <v/>
      </c>
    </row>
    <row r="205" customFormat="false" ht="15" hidden="false" customHeight="false" outlineLevel="0" collapsed="false">
      <c r="A205" s="4"/>
      <c r="B205" s="18"/>
      <c r="C205" s="18"/>
      <c r="D205" s="18"/>
      <c r="E205" s="18"/>
      <c r="F205" s="18"/>
      <c r="G205" s="5" t="str">
        <f aca="false">IF(A205="","",A205+7)</f>
        <v/>
      </c>
      <c r="H205" s="18"/>
      <c r="I205" s="5" t="str">
        <f aca="false">IF(A205="","",A205+21)</f>
        <v/>
      </c>
      <c r="J205" s="18"/>
      <c r="K205" s="17" t="str">
        <f aca="true">IF(A205="","",IF(J205="Sí","Cerrado",IF(AND(H205&lt;&gt;"Sí",TODAY()&gt;=G205),"Repasar (1)",IF(AND(H205="Sí",TODAY()&gt;=I205),"Repasar (2)","En espera"))))</f>
        <v/>
      </c>
    </row>
    <row r="206" customFormat="false" ht="15" hidden="false" customHeight="false" outlineLevel="0" collapsed="false">
      <c r="A206" s="4"/>
      <c r="B206" s="18"/>
      <c r="C206" s="18"/>
      <c r="D206" s="18"/>
      <c r="E206" s="18"/>
      <c r="F206" s="18"/>
      <c r="G206" s="5" t="str">
        <f aca="false">IF(A206="","",A206+7)</f>
        <v/>
      </c>
      <c r="H206" s="18"/>
      <c r="I206" s="5" t="str">
        <f aca="false">IF(A206="","",A206+21)</f>
        <v/>
      </c>
      <c r="J206" s="18"/>
      <c r="K206" s="17" t="str">
        <f aca="true">IF(A206="","",IF(J206="Sí","Cerrado",IF(AND(H206&lt;&gt;"Sí",TODAY()&gt;=G206),"Repasar (1)",IF(AND(H206="Sí",TODAY()&gt;=I206),"Repasar (2)","En espera"))))</f>
        <v/>
      </c>
    </row>
    <row r="207" customFormat="false" ht="15" hidden="false" customHeight="false" outlineLevel="0" collapsed="false">
      <c r="A207" s="4"/>
      <c r="B207" s="18"/>
      <c r="C207" s="18"/>
      <c r="D207" s="18"/>
      <c r="E207" s="18"/>
      <c r="F207" s="18"/>
      <c r="G207" s="5" t="str">
        <f aca="false">IF(A207="","",A207+7)</f>
        <v/>
      </c>
      <c r="H207" s="18"/>
      <c r="I207" s="5" t="str">
        <f aca="false">IF(A207="","",A207+21)</f>
        <v/>
      </c>
      <c r="J207" s="18"/>
      <c r="K207" s="17" t="str">
        <f aca="true">IF(A207="","",IF(J207="Sí","Cerrado",IF(AND(H207&lt;&gt;"Sí",TODAY()&gt;=G207),"Repasar (1)",IF(AND(H207="Sí",TODAY()&gt;=I207),"Repasar (2)","En espera"))))</f>
        <v/>
      </c>
    </row>
    <row r="208" customFormat="false" ht="15" hidden="false" customHeight="false" outlineLevel="0" collapsed="false">
      <c r="A208" s="4"/>
      <c r="B208" s="18"/>
      <c r="C208" s="18"/>
      <c r="D208" s="18"/>
      <c r="E208" s="18"/>
      <c r="F208" s="18"/>
      <c r="G208" s="5" t="str">
        <f aca="false">IF(A208="","",A208+7)</f>
        <v/>
      </c>
      <c r="H208" s="18"/>
      <c r="I208" s="5" t="str">
        <f aca="false">IF(A208="","",A208+21)</f>
        <v/>
      </c>
      <c r="J208" s="18"/>
      <c r="K208" s="17" t="str">
        <f aca="true">IF(A208="","",IF(J208="Sí","Cerrado",IF(AND(H208&lt;&gt;"Sí",TODAY()&gt;=G208),"Repasar (1)",IF(AND(H208="Sí",TODAY()&gt;=I208),"Repasar (2)","En espera"))))</f>
        <v/>
      </c>
    </row>
    <row r="209" customFormat="false" ht="15" hidden="false" customHeight="false" outlineLevel="0" collapsed="false">
      <c r="A209" s="4"/>
      <c r="B209" s="18"/>
      <c r="C209" s="18"/>
      <c r="D209" s="18"/>
      <c r="E209" s="18"/>
      <c r="F209" s="18"/>
      <c r="G209" s="5" t="str">
        <f aca="false">IF(A209="","",A209+7)</f>
        <v/>
      </c>
      <c r="H209" s="18"/>
      <c r="I209" s="5" t="str">
        <f aca="false">IF(A209="","",A209+21)</f>
        <v/>
      </c>
      <c r="J209" s="18"/>
      <c r="K209" s="17" t="str">
        <f aca="true">IF(A209="","",IF(J209="Sí","Cerrado",IF(AND(H209&lt;&gt;"Sí",TODAY()&gt;=G209),"Repasar (1)",IF(AND(H209="Sí",TODAY()&gt;=I209),"Repasar (2)","En espera"))))</f>
        <v/>
      </c>
    </row>
    <row r="210" customFormat="false" ht="15" hidden="false" customHeight="false" outlineLevel="0" collapsed="false">
      <c r="A210" s="4"/>
      <c r="B210" s="18"/>
      <c r="C210" s="18"/>
      <c r="D210" s="18"/>
      <c r="E210" s="18"/>
      <c r="F210" s="18"/>
      <c r="G210" s="5" t="str">
        <f aca="false">IF(A210="","",A210+7)</f>
        <v/>
      </c>
      <c r="H210" s="18"/>
      <c r="I210" s="5" t="str">
        <f aca="false">IF(A210="","",A210+21)</f>
        <v/>
      </c>
      <c r="J210" s="18"/>
      <c r="K210" s="17" t="str">
        <f aca="true">IF(A210="","",IF(J210="Sí","Cerrado",IF(AND(H210&lt;&gt;"Sí",TODAY()&gt;=G210),"Repasar (1)",IF(AND(H210="Sí",TODAY()&gt;=I210),"Repasar (2)","En espera"))))</f>
        <v/>
      </c>
    </row>
    <row r="211" customFormat="false" ht="15" hidden="false" customHeight="false" outlineLevel="0" collapsed="false">
      <c r="A211" s="4"/>
      <c r="B211" s="18"/>
      <c r="C211" s="18"/>
      <c r="D211" s="18"/>
      <c r="E211" s="18"/>
      <c r="F211" s="18"/>
      <c r="G211" s="5" t="str">
        <f aca="false">IF(A211="","",A211+7)</f>
        <v/>
      </c>
      <c r="H211" s="18"/>
      <c r="I211" s="5" t="str">
        <f aca="false">IF(A211="","",A211+21)</f>
        <v/>
      </c>
      <c r="J211" s="18"/>
      <c r="K211" s="17" t="str">
        <f aca="true">IF(A211="","",IF(J211="Sí","Cerrado",IF(AND(H211&lt;&gt;"Sí",TODAY()&gt;=G211),"Repasar (1)",IF(AND(H211="Sí",TODAY()&gt;=I211),"Repasar (2)","En espera"))))</f>
        <v/>
      </c>
    </row>
    <row r="212" customFormat="false" ht="15" hidden="false" customHeight="false" outlineLevel="0" collapsed="false">
      <c r="A212" s="4"/>
      <c r="B212" s="18"/>
      <c r="C212" s="18"/>
      <c r="D212" s="18"/>
      <c r="E212" s="18"/>
      <c r="F212" s="18"/>
      <c r="G212" s="5" t="str">
        <f aca="false">IF(A212="","",A212+7)</f>
        <v/>
      </c>
      <c r="H212" s="18"/>
      <c r="I212" s="5" t="str">
        <f aca="false">IF(A212="","",A212+21)</f>
        <v/>
      </c>
      <c r="J212" s="18"/>
      <c r="K212" s="17" t="str">
        <f aca="true">IF(A212="","",IF(J212="Sí","Cerrado",IF(AND(H212&lt;&gt;"Sí",TODAY()&gt;=G212),"Repasar (1)",IF(AND(H212="Sí",TODAY()&gt;=I212),"Repasar (2)","En espera"))))</f>
        <v/>
      </c>
    </row>
    <row r="213" customFormat="false" ht="15" hidden="false" customHeight="false" outlineLevel="0" collapsed="false">
      <c r="A213" s="4"/>
      <c r="B213" s="18"/>
      <c r="C213" s="18"/>
      <c r="D213" s="18"/>
      <c r="E213" s="18"/>
      <c r="F213" s="18"/>
      <c r="G213" s="5" t="str">
        <f aca="false">IF(A213="","",A213+7)</f>
        <v/>
      </c>
      <c r="H213" s="18"/>
      <c r="I213" s="5" t="str">
        <f aca="false">IF(A213="","",A213+21)</f>
        <v/>
      </c>
      <c r="J213" s="18"/>
      <c r="K213" s="17" t="str">
        <f aca="true">IF(A213="","",IF(J213="Sí","Cerrado",IF(AND(H213&lt;&gt;"Sí",TODAY()&gt;=G213),"Repasar (1)",IF(AND(H213="Sí",TODAY()&gt;=I213),"Repasar (2)","En espera"))))</f>
        <v/>
      </c>
    </row>
    <row r="214" customFormat="false" ht="15" hidden="false" customHeight="false" outlineLevel="0" collapsed="false">
      <c r="A214" s="4"/>
      <c r="B214" s="18"/>
      <c r="C214" s="18"/>
      <c r="D214" s="18"/>
      <c r="E214" s="18"/>
      <c r="F214" s="18"/>
      <c r="G214" s="5" t="str">
        <f aca="false">IF(A214="","",A214+7)</f>
        <v/>
      </c>
      <c r="H214" s="18"/>
      <c r="I214" s="5" t="str">
        <f aca="false">IF(A214="","",A214+21)</f>
        <v/>
      </c>
      <c r="J214" s="18"/>
      <c r="K214" s="17" t="str">
        <f aca="true">IF(A214="","",IF(J214="Sí","Cerrado",IF(AND(H214&lt;&gt;"Sí",TODAY()&gt;=G214),"Repasar (1)",IF(AND(H214="Sí",TODAY()&gt;=I214),"Repasar (2)","En espera"))))</f>
        <v/>
      </c>
    </row>
    <row r="215" customFormat="false" ht="15" hidden="false" customHeight="false" outlineLevel="0" collapsed="false">
      <c r="A215" s="4"/>
      <c r="B215" s="18"/>
      <c r="C215" s="18"/>
      <c r="D215" s="18"/>
      <c r="E215" s="18"/>
      <c r="F215" s="18"/>
      <c r="G215" s="5" t="str">
        <f aca="false">IF(A215="","",A215+7)</f>
        <v/>
      </c>
      <c r="H215" s="18"/>
      <c r="I215" s="5" t="str">
        <f aca="false">IF(A215="","",A215+21)</f>
        <v/>
      </c>
      <c r="J215" s="18"/>
      <c r="K215" s="17" t="str">
        <f aca="true">IF(A215="","",IF(J215="Sí","Cerrado",IF(AND(H215&lt;&gt;"Sí",TODAY()&gt;=G215),"Repasar (1)",IF(AND(H215="Sí",TODAY()&gt;=I215),"Repasar (2)","En espera"))))</f>
        <v/>
      </c>
    </row>
    <row r="216" customFormat="false" ht="15" hidden="false" customHeight="false" outlineLevel="0" collapsed="false">
      <c r="A216" s="4"/>
      <c r="B216" s="18"/>
      <c r="C216" s="18"/>
      <c r="D216" s="18"/>
      <c r="E216" s="18"/>
      <c r="F216" s="18"/>
      <c r="G216" s="5" t="str">
        <f aca="false">IF(A216="","",A216+7)</f>
        <v/>
      </c>
      <c r="H216" s="18"/>
      <c r="I216" s="5" t="str">
        <f aca="false">IF(A216="","",A216+21)</f>
        <v/>
      </c>
      <c r="J216" s="18"/>
      <c r="K216" s="17" t="str">
        <f aca="true">IF(A216="","",IF(J216="Sí","Cerrado",IF(AND(H216&lt;&gt;"Sí",TODAY()&gt;=G216),"Repasar (1)",IF(AND(H216="Sí",TODAY()&gt;=I216),"Repasar (2)","En espera"))))</f>
        <v/>
      </c>
    </row>
    <row r="217" customFormat="false" ht="15" hidden="false" customHeight="false" outlineLevel="0" collapsed="false">
      <c r="A217" s="4"/>
      <c r="B217" s="18"/>
      <c r="C217" s="18"/>
      <c r="D217" s="18"/>
      <c r="E217" s="18"/>
      <c r="F217" s="18"/>
      <c r="G217" s="5" t="str">
        <f aca="false">IF(A217="","",A217+7)</f>
        <v/>
      </c>
      <c r="H217" s="18"/>
      <c r="I217" s="5" t="str">
        <f aca="false">IF(A217="","",A217+21)</f>
        <v/>
      </c>
      <c r="J217" s="18"/>
      <c r="K217" s="17" t="str">
        <f aca="true">IF(A217="","",IF(J217="Sí","Cerrado",IF(AND(H217&lt;&gt;"Sí",TODAY()&gt;=G217),"Repasar (1)",IF(AND(H217="Sí",TODAY()&gt;=I217),"Repasar (2)","En espera"))))</f>
        <v/>
      </c>
    </row>
    <row r="218" customFormat="false" ht="15" hidden="false" customHeight="false" outlineLevel="0" collapsed="false">
      <c r="A218" s="4"/>
      <c r="B218" s="18"/>
      <c r="C218" s="18"/>
      <c r="D218" s="18"/>
      <c r="E218" s="18"/>
      <c r="F218" s="18"/>
      <c r="G218" s="5" t="str">
        <f aca="false">IF(A218="","",A218+7)</f>
        <v/>
      </c>
      <c r="H218" s="18"/>
      <c r="I218" s="5" t="str">
        <f aca="false">IF(A218="","",A218+21)</f>
        <v/>
      </c>
      <c r="J218" s="18"/>
      <c r="K218" s="17" t="str">
        <f aca="true">IF(A218="","",IF(J218="Sí","Cerrado",IF(AND(H218&lt;&gt;"Sí",TODAY()&gt;=G218),"Repasar (1)",IF(AND(H218="Sí",TODAY()&gt;=I218),"Repasar (2)","En espera"))))</f>
        <v/>
      </c>
    </row>
    <row r="219" customFormat="false" ht="15" hidden="false" customHeight="false" outlineLevel="0" collapsed="false">
      <c r="A219" s="4"/>
      <c r="B219" s="18"/>
      <c r="C219" s="18"/>
      <c r="D219" s="18"/>
      <c r="E219" s="18"/>
      <c r="F219" s="18"/>
      <c r="G219" s="5" t="str">
        <f aca="false">IF(A219="","",A219+7)</f>
        <v/>
      </c>
      <c r="H219" s="18"/>
      <c r="I219" s="5" t="str">
        <f aca="false">IF(A219="","",A219+21)</f>
        <v/>
      </c>
      <c r="J219" s="18"/>
      <c r="K219" s="17" t="str">
        <f aca="true">IF(A219="","",IF(J219="Sí","Cerrado",IF(AND(H219&lt;&gt;"Sí",TODAY()&gt;=G219),"Repasar (1)",IF(AND(H219="Sí",TODAY()&gt;=I219),"Repasar (2)","En espera"))))</f>
        <v/>
      </c>
    </row>
    <row r="220" customFormat="false" ht="15" hidden="false" customHeight="false" outlineLevel="0" collapsed="false">
      <c r="A220" s="4"/>
      <c r="B220" s="18"/>
      <c r="C220" s="18"/>
      <c r="D220" s="18"/>
      <c r="E220" s="18"/>
      <c r="F220" s="18"/>
      <c r="G220" s="5" t="str">
        <f aca="false">IF(A220="","",A220+7)</f>
        <v/>
      </c>
      <c r="H220" s="18"/>
      <c r="I220" s="5" t="str">
        <f aca="false">IF(A220="","",A220+21)</f>
        <v/>
      </c>
      <c r="J220" s="18"/>
      <c r="K220" s="17" t="str">
        <f aca="true">IF(A220="","",IF(J220="Sí","Cerrado",IF(AND(H220&lt;&gt;"Sí",TODAY()&gt;=G220),"Repasar (1)",IF(AND(H220="Sí",TODAY()&gt;=I220),"Repasar (2)","En espera"))))</f>
        <v/>
      </c>
    </row>
    <row r="221" customFormat="false" ht="15" hidden="false" customHeight="false" outlineLevel="0" collapsed="false">
      <c r="A221" s="4"/>
      <c r="B221" s="18"/>
      <c r="C221" s="18"/>
      <c r="D221" s="18"/>
      <c r="E221" s="18"/>
      <c r="F221" s="18"/>
      <c r="G221" s="5" t="str">
        <f aca="false">IF(A221="","",A221+7)</f>
        <v/>
      </c>
      <c r="H221" s="18"/>
      <c r="I221" s="5" t="str">
        <f aca="false">IF(A221="","",A221+21)</f>
        <v/>
      </c>
      <c r="J221" s="18"/>
      <c r="K221" s="17" t="str">
        <f aca="true">IF(A221="","",IF(J221="Sí","Cerrado",IF(AND(H221&lt;&gt;"Sí",TODAY()&gt;=G221),"Repasar (1)",IF(AND(H221="Sí",TODAY()&gt;=I221),"Repasar (2)","En espera"))))</f>
        <v/>
      </c>
    </row>
    <row r="222" customFormat="false" ht="15" hidden="false" customHeight="false" outlineLevel="0" collapsed="false">
      <c r="A222" s="4"/>
      <c r="B222" s="18"/>
      <c r="C222" s="18"/>
      <c r="D222" s="18"/>
      <c r="E222" s="18"/>
      <c r="F222" s="18"/>
      <c r="G222" s="5" t="str">
        <f aca="false">IF(A222="","",A222+7)</f>
        <v/>
      </c>
      <c r="H222" s="18"/>
      <c r="I222" s="5" t="str">
        <f aca="false">IF(A222="","",A222+21)</f>
        <v/>
      </c>
      <c r="J222" s="18"/>
      <c r="K222" s="17" t="str">
        <f aca="true">IF(A222="","",IF(J222="Sí","Cerrado",IF(AND(H222&lt;&gt;"Sí",TODAY()&gt;=G222),"Repasar (1)",IF(AND(H222="Sí",TODAY()&gt;=I222),"Repasar (2)","En espera"))))</f>
        <v/>
      </c>
    </row>
    <row r="223" customFormat="false" ht="15" hidden="false" customHeight="false" outlineLevel="0" collapsed="false">
      <c r="A223" s="4"/>
      <c r="B223" s="18"/>
      <c r="C223" s="18"/>
      <c r="D223" s="18"/>
      <c r="E223" s="18"/>
      <c r="F223" s="18"/>
      <c r="G223" s="5" t="str">
        <f aca="false">IF(A223="","",A223+7)</f>
        <v/>
      </c>
      <c r="H223" s="18"/>
      <c r="I223" s="5" t="str">
        <f aca="false">IF(A223="","",A223+21)</f>
        <v/>
      </c>
      <c r="J223" s="18"/>
      <c r="K223" s="17" t="str">
        <f aca="true">IF(A223="","",IF(J223="Sí","Cerrado",IF(AND(H223&lt;&gt;"Sí",TODAY()&gt;=G223),"Repasar (1)",IF(AND(H223="Sí",TODAY()&gt;=I223),"Repasar (2)","En espera"))))</f>
        <v/>
      </c>
    </row>
    <row r="224" customFormat="false" ht="15" hidden="false" customHeight="false" outlineLevel="0" collapsed="false">
      <c r="A224" s="4"/>
      <c r="B224" s="18"/>
      <c r="C224" s="18"/>
      <c r="D224" s="18"/>
      <c r="E224" s="18"/>
      <c r="F224" s="18"/>
      <c r="G224" s="5" t="str">
        <f aca="false">IF(A224="","",A224+7)</f>
        <v/>
      </c>
      <c r="H224" s="18"/>
      <c r="I224" s="5" t="str">
        <f aca="false">IF(A224="","",A224+21)</f>
        <v/>
      </c>
      <c r="J224" s="18"/>
      <c r="K224" s="17" t="str">
        <f aca="true">IF(A224="","",IF(J224="Sí","Cerrado",IF(AND(H224&lt;&gt;"Sí",TODAY()&gt;=G224),"Repasar (1)",IF(AND(H224="Sí",TODAY()&gt;=I224),"Repasar (2)","En espera"))))</f>
        <v/>
      </c>
    </row>
    <row r="225" customFormat="false" ht="15" hidden="false" customHeight="false" outlineLevel="0" collapsed="false">
      <c r="A225" s="4"/>
      <c r="B225" s="18"/>
      <c r="C225" s="18"/>
      <c r="D225" s="18"/>
      <c r="E225" s="18"/>
      <c r="F225" s="18"/>
      <c r="G225" s="5" t="str">
        <f aca="false">IF(A225="","",A225+7)</f>
        <v/>
      </c>
      <c r="H225" s="18"/>
      <c r="I225" s="5" t="str">
        <f aca="false">IF(A225="","",A225+21)</f>
        <v/>
      </c>
      <c r="J225" s="18"/>
      <c r="K225" s="17" t="str">
        <f aca="true">IF(A225="","",IF(J225="Sí","Cerrado",IF(AND(H225&lt;&gt;"Sí",TODAY()&gt;=G225),"Repasar (1)",IF(AND(H225="Sí",TODAY()&gt;=I225),"Repasar (2)","En espera"))))</f>
        <v/>
      </c>
    </row>
    <row r="226" customFormat="false" ht="15" hidden="false" customHeight="false" outlineLevel="0" collapsed="false">
      <c r="A226" s="4"/>
      <c r="B226" s="18"/>
      <c r="C226" s="18"/>
      <c r="D226" s="18"/>
      <c r="E226" s="18"/>
      <c r="F226" s="18"/>
      <c r="G226" s="5" t="str">
        <f aca="false">IF(A226="","",A226+7)</f>
        <v/>
      </c>
      <c r="H226" s="18"/>
      <c r="I226" s="5" t="str">
        <f aca="false">IF(A226="","",A226+21)</f>
        <v/>
      </c>
      <c r="J226" s="18"/>
      <c r="K226" s="17" t="str">
        <f aca="true">IF(A226="","",IF(J226="Sí","Cerrado",IF(AND(H226&lt;&gt;"Sí",TODAY()&gt;=G226),"Repasar (1)",IF(AND(H226="Sí",TODAY()&gt;=I226),"Repasar (2)","En espera"))))</f>
        <v/>
      </c>
    </row>
    <row r="227" customFormat="false" ht="15" hidden="false" customHeight="false" outlineLevel="0" collapsed="false">
      <c r="A227" s="4"/>
      <c r="B227" s="18"/>
      <c r="C227" s="18"/>
      <c r="D227" s="18"/>
      <c r="E227" s="18"/>
      <c r="F227" s="18"/>
      <c r="G227" s="5" t="str">
        <f aca="false">IF(A227="","",A227+7)</f>
        <v/>
      </c>
      <c r="H227" s="18"/>
      <c r="I227" s="5" t="str">
        <f aca="false">IF(A227="","",A227+21)</f>
        <v/>
      </c>
      <c r="J227" s="18"/>
      <c r="K227" s="17" t="str">
        <f aca="true">IF(A227="","",IF(J227="Sí","Cerrado",IF(AND(H227&lt;&gt;"Sí",TODAY()&gt;=G227),"Repasar (1)",IF(AND(H227="Sí",TODAY()&gt;=I227),"Repasar (2)","En espera"))))</f>
        <v/>
      </c>
    </row>
    <row r="228" customFormat="false" ht="15" hidden="false" customHeight="false" outlineLevel="0" collapsed="false">
      <c r="A228" s="4"/>
      <c r="B228" s="18"/>
      <c r="C228" s="18"/>
      <c r="D228" s="18"/>
      <c r="E228" s="18"/>
      <c r="F228" s="18"/>
      <c r="G228" s="5" t="str">
        <f aca="false">IF(A228="","",A228+7)</f>
        <v/>
      </c>
      <c r="H228" s="18"/>
      <c r="I228" s="5" t="str">
        <f aca="false">IF(A228="","",A228+21)</f>
        <v/>
      </c>
      <c r="J228" s="18"/>
      <c r="K228" s="17" t="str">
        <f aca="true">IF(A228="","",IF(J228="Sí","Cerrado",IF(AND(H228&lt;&gt;"Sí",TODAY()&gt;=G228),"Repasar (1)",IF(AND(H228="Sí",TODAY()&gt;=I228),"Repasar (2)","En espera"))))</f>
        <v/>
      </c>
    </row>
    <row r="229" customFormat="false" ht="15" hidden="false" customHeight="false" outlineLevel="0" collapsed="false">
      <c r="A229" s="4"/>
      <c r="B229" s="18"/>
      <c r="C229" s="18"/>
      <c r="D229" s="18"/>
      <c r="E229" s="18"/>
      <c r="F229" s="18"/>
      <c r="G229" s="5" t="str">
        <f aca="false">IF(A229="","",A229+7)</f>
        <v/>
      </c>
      <c r="H229" s="18"/>
      <c r="I229" s="5" t="str">
        <f aca="false">IF(A229="","",A229+21)</f>
        <v/>
      </c>
      <c r="J229" s="18"/>
      <c r="K229" s="17" t="str">
        <f aca="true">IF(A229="","",IF(J229="Sí","Cerrado",IF(AND(H229&lt;&gt;"Sí",TODAY()&gt;=G229),"Repasar (1)",IF(AND(H229="Sí",TODAY()&gt;=I229),"Repasar (2)","En espera"))))</f>
        <v/>
      </c>
    </row>
    <row r="230" customFormat="false" ht="15" hidden="false" customHeight="false" outlineLevel="0" collapsed="false">
      <c r="A230" s="4"/>
      <c r="B230" s="18"/>
      <c r="C230" s="18"/>
      <c r="D230" s="18"/>
      <c r="E230" s="18"/>
      <c r="F230" s="18"/>
      <c r="G230" s="5" t="str">
        <f aca="false">IF(A230="","",A230+7)</f>
        <v/>
      </c>
      <c r="H230" s="18"/>
      <c r="I230" s="5" t="str">
        <f aca="false">IF(A230="","",A230+21)</f>
        <v/>
      </c>
      <c r="J230" s="18"/>
      <c r="K230" s="17" t="str">
        <f aca="true">IF(A230="","",IF(J230="Sí","Cerrado",IF(AND(H230&lt;&gt;"Sí",TODAY()&gt;=G230),"Repasar (1)",IF(AND(H230="Sí",TODAY()&gt;=I230),"Repasar (2)","En espera"))))</f>
        <v/>
      </c>
    </row>
    <row r="231" customFormat="false" ht="15" hidden="false" customHeight="false" outlineLevel="0" collapsed="false">
      <c r="A231" s="4"/>
      <c r="B231" s="18"/>
      <c r="C231" s="18"/>
      <c r="D231" s="18"/>
      <c r="E231" s="18"/>
      <c r="F231" s="18"/>
      <c r="G231" s="5" t="str">
        <f aca="false">IF(A231="","",A231+7)</f>
        <v/>
      </c>
      <c r="H231" s="18"/>
      <c r="I231" s="5" t="str">
        <f aca="false">IF(A231="","",A231+21)</f>
        <v/>
      </c>
      <c r="J231" s="18"/>
      <c r="K231" s="17" t="str">
        <f aca="true">IF(A231="","",IF(J231="Sí","Cerrado",IF(AND(H231&lt;&gt;"Sí",TODAY()&gt;=G231),"Repasar (1)",IF(AND(H231="Sí",TODAY()&gt;=I231),"Repasar (2)","En espera"))))</f>
        <v/>
      </c>
    </row>
    <row r="232" customFormat="false" ht="15" hidden="false" customHeight="false" outlineLevel="0" collapsed="false">
      <c r="A232" s="4"/>
      <c r="B232" s="18"/>
      <c r="C232" s="18"/>
      <c r="D232" s="18"/>
      <c r="E232" s="18"/>
      <c r="F232" s="18"/>
      <c r="G232" s="5" t="str">
        <f aca="false">IF(A232="","",A232+7)</f>
        <v/>
      </c>
      <c r="H232" s="18"/>
      <c r="I232" s="5" t="str">
        <f aca="false">IF(A232="","",A232+21)</f>
        <v/>
      </c>
      <c r="J232" s="18"/>
      <c r="K232" s="17" t="str">
        <f aca="true">IF(A232="","",IF(J232="Sí","Cerrado",IF(AND(H232&lt;&gt;"Sí",TODAY()&gt;=G232),"Repasar (1)",IF(AND(H232="Sí",TODAY()&gt;=I232),"Repasar (2)","En espera"))))</f>
        <v/>
      </c>
    </row>
    <row r="233" customFormat="false" ht="15" hidden="false" customHeight="false" outlineLevel="0" collapsed="false">
      <c r="A233" s="4"/>
      <c r="B233" s="18"/>
      <c r="C233" s="18"/>
      <c r="D233" s="18"/>
      <c r="E233" s="18"/>
      <c r="F233" s="18"/>
      <c r="G233" s="5" t="str">
        <f aca="false">IF(A233="","",A233+7)</f>
        <v/>
      </c>
      <c r="H233" s="18"/>
      <c r="I233" s="5" t="str">
        <f aca="false">IF(A233="","",A233+21)</f>
        <v/>
      </c>
      <c r="J233" s="18"/>
      <c r="K233" s="17" t="str">
        <f aca="true">IF(A233="","",IF(J233="Sí","Cerrado",IF(AND(H233&lt;&gt;"Sí",TODAY()&gt;=G233),"Repasar (1)",IF(AND(H233="Sí",TODAY()&gt;=I233),"Repasar (2)","En espera"))))</f>
        <v/>
      </c>
    </row>
    <row r="234" customFormat="false" ht="15" hidden="false" customHeight="false" outlineLevel="0" collapsed="false">
      <c r="A234" s="4"/>
      <c r="B234" s="18"/>
      <c r="C234" s="18"/>
      <c r="D234" s="18"/>
      <c r="E234" s="18"/>
      <c r="F234" s="18"/>
      <c r="G234" s="5" t="str">
        <f aca="false">IF(A234="","",A234+7)</f>
        <v/>
      </c>
      <c r="H234" s="18"/>
      <c r="I234" s="5" t="str">
        <f aca="false">IF(A234="","",A234+21)</f>
        <v/>
      </c>
      <c r="J234" s="18"/>
      <c r="K234" s="17" t="str">
        <f aca="true">IF(A234="","",IF(J234="Sí","Cerrado",IF(AND(H234&lt;&gt;"Sí",TODAY()&gt;=G234),"Repasar (1)",IF(AND(H234="Sí",TODAY()&gt;=I234),"Repasar (2)","En espera"))))</f>
        <v/>
      </c>
    </row>
    <row r="235" customFormat="false" ht="15" hidden="false" customHeight="false" outlineLevel="0" collapsed="false">
      <c r="A235" s="4"/>
      <c r="B235" s="18"/>
      <c r="C235" s="18"/>
      <c r="D235" s="18"/>
      <c r="E235" s="18"/>
      <c r="F235" s="18"/>
      <c r="G235" s="5" t="str">
        <f aca="false">IF(A235="","",A235+7)</f>
        <v/>
      </c>
      <c r="H235" s="18"/>
      <c r="I235" s="5" t="str">
        <f aca="false">IF(A235="","",A235+21)</f>
        <v/>
      </c>
      <c r="J235" s="18"/>
      <c r="K235" s="17" t="str">
        <f aca="true">IF(A235="","",IF(J235="Sí","Cerrado",IF(AND(H235&lt;&gt;"Sí",TODAY()&gt;=G235),"Repasar (1)",IF(AND(H235="Sí",TODAY()&gt;=I235),"Repasar (2)","En espera"))))</f>
        <v/>
      </c>
    </row>
    <row r="236" customFormat="false" ht="15" hidden="false" customHeight="false" outlineLevel="0" collapsed="false">
      <c r="A236" s="4"/>
      <c r="B236" s="18"/>
      <c r="C236" s="18"/>
      <c r="D236" s="18"/>
      <c r="E236" s="18"/>
      <c r="F236" s="18"/>
      <c r="G236" s="5" t="str">
        <f aca="false">IF(A236="","",A236+7)</f>
        <v/>
      </c>
      <c r="H236" s="18"/>
      <c r="I236" s="5" t="str">
        <f aca="false">IF(A236="","",A236+21)</f>
        <v/>
      </c>
      <c r="J236" s="18"/>
      <c r="K236" s="17" t="str">
        <f aca="true">IF(A236="","",IF(J236="Sí","Cerrado",IF(AND(H236&lt;&gt;"Sí",TODAY()&gt;=G236),"Repasar (1)",IF(AND(H236="Sí",TODAY()&gt;=I236),"Repasar (2)","En espera"))))</f>
        <v/>
      </c>
    </row>
    <row r="237" customFormat="false" ht="15" hidden="false" customHeight="false" outlineLevel="0" collapsed="false">
      <c r="A237" s="4"/>
      <c r="B237" s="18"/>
      <c r="C237" s="18"/>
      <c r="D237" s="18"/>
      <c r="E237" s="18"/>
      <c r="F237" s="18"/>
      <c r="G237" s="5" t="str">
        <f aca="false">IF(A237="","",A237+7)</f>
        <v/>
      </c>
      <c r="H237" s="18"/>
      <c r="I237" s="5" t="str">
        <f aca="false">IF(A237="","",A237+21)</f>
        <v/>
      </c>
      <c r="J237" s="18"/>
      <c r="K237" s="17" t="str">
        <f aca="true">IF(A237="","",IF(J237="Sí","Cerrado",IF(AND(H237&lt;&gt;"Sí",TODAY()&gt;=G237),"Repasar (1)",IF(AND(H237="Sí",TODAY()&gt;=I237),"Repasar (2)","En espera"))))</f>
        <v/>
      </c>
    </row>
    <row r="238" customFormat="false" ht="15" hidden="false" customHeight="false" outlineLevel="0" collapsed="false">
      <c r="A238" s="4"/>
      <c r="B238" s="18"/>
      <c r="C238" s="18"/>
      <c r="D238" s="18"/>
      <c r="E238" s="18"/>
      <c r="F238" s="18"/>
      <c r="G238" s="5" t="str">
        <f aca="false">IF(A238="","",A238+7)</f>
        <v/>
      </c>
      <c r="H238" s="18"/>
      <c r="I238" s="5" t="str">
        <f aca="false">IF(A238="","",A238+21)</f>
        <v/>
      </c>
      <c r="J238" s="18"/>
      <c r="K238" s="17" t="str">
        <f aca="true">IF(A238="","",IF(J238="Sí","Cerrado",IF(AND(H238&lt;&gt;"Sí",TODAY()&gt;=G238),"Repasar (1)",IF(AND(H238="Sí",TODAY()&gt;=I238),"Repasar (2)","En espera"))))</f>
        <v/>
      </c>
    </row>
    <row r="239" customFormat="false" ht="15" hidden="false" customHeight="false" outlineLevel="0" collapsed="false">
      <c r="A239" s="4"/>
      <c r="B239" s="18"/>
      <c r="C239" s="18"/>
      <c r="D239" s="18"/>
      <c r="E239" s="18"/>
      <c r="F239" s="18"/>
      <c r="G239" s="5" t="str">
        <f aca="false">IF(A239="","",A239+7)</f>
        <v/>
      </c>
      <c r="H239" s="18"/>
      <c r="I239" s="5" t="str">
        <f aca="false">IF(A239="","",A239+21)</f>
        <v/>
      </c>
      <c r="J239" s="18"/>
      <c r="K239" s="17" t="str">
        <f aca="true">IF(A239="","",IF(J239="Sí","Cerrado",IF(AND(H239&lt;&gt;"Sí",TODAY()&gt;=G239),"Repasar (1)",IF(AND(H239="Sí",TODAY()&gt;=I239),"Repasar (2)","En espera"))))</f>
        <v/>
      </c>
    </row>
    <row r="240" customFormat="false" ht="15" hidden="false" customHeight="false" outlineLevel="0" collapsed="false">
      <c r="A240" s="4"/>
      <c r="B240" s="18"/>
      <c r="C240" s="18"/>
      <c r="D240" s="18"/>
      <c r="E240" s="18"/>
      <c r="F240" s="18"/>
      <c r="G240" s="5" t="str">
        <f aca="false">IF(A240="","",A240+7)</f>
        <v/>
      </c>
      <c r="H240" s="18"/>
      <c r="I240" s="5" t="str">
        <f aca="false">IF(A240="","",A240+21)</f>
        <v/>
      </c>
      <c r="J240" s="18"/>
      <c r="K240" s="17" t="str">
        <f aca="true">IF(A240="","",IF(J240="Sí","Cerrado",IF(AND(H240&lt;&gt;"Sí",TODAY()&gt;=G240),"Repasar (1)",IF(AND(H240="Sí",TODAY()&gt;=I240),"Repasar (2)","En espera"))))</f>
        <v/>
      </c>
    </row>
    <row r="241" customFormat="false" ht="15" hidden="false" customHeight="false" outlineLevel="0" collapsed="false">
      <c r="A241" s="4"/>
      <c r="B241" s="18"/>
      <c r="C241" s="18"/>
      <c r="D241" s="18"/>
      <c r="E241" s="18"/>
      <c r="F241" s="18"/>
      <c r="G241" s="5" t="str">
        <f aca="false">IF(A241="","",A241+7)</f>
        <v/>
      </c>
      <c r="H241" s="18"/>
      <c r="I241" s="5" t="str">
        <f aca="false">IF(A241="","",A241+21)</f>
        <v/>
      </c>
      <c r="J241" s="18"/>
      <c r="K241" s="17" t="str">
        <f aca="true">IF(A241="","",IF(J241="Sí","Cerrado",IF(AND(H241&lt;&gt;"Sí",TODAY()&gt;=G241),"Repasar (1)",IF(AND(H241="Sí",TODAY()&gt;=I241),"Repasar (2)","En espera"))))</f>
        <v/>
      </c>
    </row>
    <row r="242" customFormat="false" ht="15" hidden="false" customHeight="false" outlineLevel="0" collapsed="false">
      <c r="A242" s="4"/>
      <c r="B242" s="18"/>
      <c r="C242" s="18"/>
      <c r="D242" s="18"/>
      <c r="E242" s="18"/>
      <c r="F242" s="18"/>
      <c r="G242" s="5" t="str">
        <f aca="false">IF(A242="","",A242+7)</f>
        <v/>
      </c>
      <c r="H242" s="18"/>
      <c r="I242" s="5" t="str">
        <f aca="false">IF(A242="","",A242+21)</f>
        <v/>
      </c>
      <c r="J242" s="18"/>
      <c r="K242" s="17" t="str">
        <f aca="true">IF(A242="","",IF(J242="Sí","Cerrado",IF(AND(H242&lt;&gt;"Sí",TODAY()&gt;=G242),"Repasar (1)",IF(AND(H242="Sí",TODAY()&gt;=I242),"Repasar (2)","En espera"))))</f>
        <v/>
      </c>
    </row>
    <row r="243" customFormat="false" ht="15" hidden="false" customHeight="false" outlineLevel="0" collapsed="false">
      <c r="A243" s="4"/>
      <c r="B243" s="18"/>
      <c r="C243" s="18"/>
      <c r="D243" s="18"/>
      <c r="E243" s="18"/>
      <c r="F243" s="18"/>
      <c r="G243" s="5" t="str">
        <f aca="false">IF(A243="","",A243+7)</f>
        <v/>
      </c>
      <c r="H243" s="18"/>
      <c r="I243" s="5" t="str">
        <f aca="false">IF(A243="","",A243+21)</f>
        <v/>
      </c>
      <c r="J243" s="18"/>
      <c r="K243" s="17" t="str">
        <f aca="true">IF(A243="","",IF(J243="Sí","Cerrado",IF(AND(H243&lt;&gt;"Sí",TODAY()&gt;=G243),"Repasar (1)",IF(AND(H243="Sí",TODAY()&gt;=I243),"Repasar (2)","En espera"))))</f>
        <v/>
      </c>
    </row>
    <row r="244" customFormat="false" ht="15" hidden="false" customHeight="false" outlineLevel="0" collapsed="false">
      <c r="A244" s="4"/>
      <c r="B244" s="18"/>
      <c r="C244" s="18"/>
      <c r="D244" s="18"/>
      <c r="E244" s="18"/>
      <c r="F244" s="18"/>
      <c r="G244" s="5" t="str">
        <f aca="false">IF(A244="","",A244+7)</f>
        <v/>
      </c>
      <c r="H244" s="18"/>
      <c r="I244" s="5" t="str">
        <f aca="false">IF(A244="","",A244+21)</f>
        <v/>
      </c>
      <c r="J244" s="18"/>
      <c r="K244" s="17" t="str">
        <f aca="true">IF(A244="","",IF(J244="Sí","Cerrado",IF(AND(H244&lt;&gt;"Sí",TODAY()&gt;=G244),"Repasar (1)",IF(AND(H244="Sí",TODAY()&gt;=I244),"Repasar (2)","En espera"))))</f>
        <v/>
      </c>
    </row>
    <row r="245" customFormat="false" ht="15" hidden="false" customHeight="false" outlineLevel="0" collapsed="false">
      <c r="A245" s="4"/>
      <c r="B245" s="18"/>
      <c r="C245" s="18"/>
      <c r="D245" s="18"/>
      <c r="E245" s="18"/>
      <c r="F245" s="18"/>
      <c r="G245" s="5" t="str">
        <f aca="false">IF(A245="","",A245+7)</f>
        <v/>
      </c>
      <c r="H245" s="18"/>
      <c r="I245" s="5" t="str">
        <f aca="false">IF(A245="","",A245+21)</f>
        <v/>
      </c>
      <c r="J245" s="18"/>
      <c r="K245" s="17" t="str">
        <f aca="true">IF(A245="","",IF(J245="Sí","Cerrado",IF(AND(H245&lt;&gt;"Sí",TODAY()&gt;=G245),"Repasar (1)",IF(AND(H245="Sí",TODAY()&gt;=I245),"Repasar (2)","En espera"))))</f>
        <v/>
      </c>
    </row>
    <row r="246" customFormat="false" ht="15" hidden="false" customHeight="false" outlineLevel="0" collapsed="false">
      <c r="A246" s="4"/>
      <c r="B246" s="18"/>
      <c r="C246" s="18"/>
      <c r="D246" s="18"/>
      <c r="E246" s="18"/>
      <c r="F246" s="18"/>
      <c r="G246" s="5" t="str">
        <f aca="false">IF(A246="","",A246+7)</f>
        <v/>
      </c>
      <c r="H246" s="18"/>
      <c r="I246" s="5" t="str">
        <f aca="false">IF(A246="","",A246+21)</f>
        <v/>
      </c>
      <c r="J246" s="18"/>
      <c r="K246" s="17" t="str">
        <f aca="true">IF(A246="","",IF(J246="Sí","Cerrado",IF(AND(H246&lt;&gt;"Sí",TODAY()&gt;=G246),"Repasar (1)",IF(AND(H246="Sí",TODAY()&gt;=I246),"Repasar (2)","En espera"))))</f>
        <v/>
      </c>
    </row>
    <row r="247" customFormat="false" ht="15" hidden="false" customHeight="false" outlineLevel="0" collapsed="false">
      <c r="A247" s="4"/>
      <c r="B247" s="18"/>
      <c r="C247" s="18"/>
      <c r="D247" s="18"/>
      <c r="E247" s="18"/>
      <c r="F247" s="18"/>
      <c r="G247" s="5" t="str">
        <f aca="false">IF(A247="","",A247+7)</f>
        <v/>
      </c>
      <c r="H247" s="18"/>
      <c r="I247" s="5" t="str">
        <f aca="false">IF(A247="","",A247+21)</f>
        <v/>
      </c>
      <c r="J247" s="18"/>
      <c r="K247" s="17" t="str">
        <f aca="true">IF(A247="","",IF(J247="Sí","Cerrado",IF(AND(H247&lt;&gt;"Sí",TODAY()&gt;=G247),"Repasar (1)",IF(AND(H247="Sí",TODAY()&gt;=I247),"Repasar (2)","En espera"))))</f>
        <v/>
      </c>
    </row>
    <row r="248" customFormat="false" ht="15" hidden="false" customHeight="false" outlineLevel="0" collapsed="false">
      <c r="A248" s="4"/>
      <c r="B248" s="18"/>
      <c r="C248" s="18"/>
      <c r="D248" s="18"/>
      <c r="E248" s="18"/>
      <c r="F248" s="18"/>
      <c r="G248" s="5" t="str">
        <f aca="false">IF(A248="","",A248+7)</f>
        <v/>
      </c>
      <c r="H248" s="18"/>
      <c r="I248" s="5" t="str">
        <f aca="false">IF(A248="","",A248+21)</f>
        <v/>
      </c>
      <c r="J248" s="18"/>
      <c r="K248" s="17" t="str">
        <f aca="true">IF(A248="","",IF(J248="Sí","Cerrado",IF(AND(H248&lt;&gt;"Sí",TODAY()&gt;=G248),"Repasar (1)",IF(AND(H248="Sí",TODAY()&gt;=I248),"Repasar (2)","En espera"))))</f>
        <v/>
      </c>
    </row>
    <row r="249" customFormat="false" ht="15" hidden="false" customHeight="false" outlineLevel="0" collapsed="false">
      <c r="A249" s="4"/>
      <c r="B249" s="18"/>
      <c r="C249" s="18"/>
      <c r="D249" s="18"/>
      <c r="E249" s="18"/>
      <c r="F249" s="18"/>
      <c r="G249" s="5" t="str">
        <f aca="false">IF(A249="","",A249+7)</f>
        <v/>
      </c>
      <c r="H249" s="18"/>
      <c r="I249" s="5" t="str">
        <f aca="false">IF(A249="","",A249+21)</f>
        <v/>
      </c>
      <c r="J249" s="18"/>
      <c r="K249" s="17" t="str">
        <f aca="true">IF(A249="","",IF(J249="Sí","Cerrado",IF(AND(H249&lt;&gt;"Sí",TODAY()&gt;=G249),"Repasar (1)",IF(AND(H249="Sí",TODAY()&gt;=I249),"Repasar (2)","En espera"))))</f>
        <v/>
      </c>
    </row>
    <row r="250" customFormat="false" ht="15" hidden="false" customHeight="false" outlineLevel="0" collapsed="false">
      <c r="A250" s="4"/>
      <c r="B250" s="18"/>
      <c r="C250" s="18"/>
      <c r="D250" s="18"/>
      <c r="E250" s="18"/>
      <c r="F250" s="18"/>
      <c r="G250" s="5" t="str">
        <f aca="false">IF(A250="","",A250+7)</f>
        <v/>
      </c>
      <c r="H250" s="18"/>
      <c r="I250" s="5" t="str">
        <f aca="false">IF(A250="","",A250+21)</f>
        <v/>
      </c>
      <c r="J250" s="18"/>
      <c r="K250" s="17" t="str">
        <f aca="true">IF(A250="","",IF(J250="Sí","Cerrado",IF(AND(H250&lt;&gt;"Sí",TODAY()&gt;=G250),"Repasar (1)",IF(AND(H250="Sí",TODAY()&gt;=I250),"Repasar (2)","En espera"))))</f>
        <v/>
      </c>
    </row>
    <row r="251" customFormat="false" ht="15" hidden="false" customHeight="false" outlineLevel="0" collapsed="false">
      <c r="A251" s="4"/>
      <c r="B251" s="18"/>
      <c r="C251" s="18"/>
      <c r="D251" s="18"/>
      <c r="E251" s="18"/>
      <c r="F251" s="18"/>
      <c r="G251" s="5" t="str">
        <f aca="false">IF(A251="","",A251+7)</f>
        <v/>
      </c>
      <c r="H251" s="18"/>
      <c r="I251" s="5" t="str">
        <f aca="false">IF(A251="","",A251+21)</f>
        <v/>
      </c>
      <c r="J251" s="18"/>
      <c r="K251" s="17" t="str">
        <f aca="true">IF(A251="","",IF(J251="Sí","Cerrado",IF(AND(H251&lt;&gt;"Sí",TODAY()&gt;=G251),"Repasar (1)",IF(AND(H251="Sí",TODAY()&gt;=I251),"Repasar (2)","En espera"))))</f>
        <v/>
      </c>
    </row>
    <row r="252" customFormat="false" ht="15" hidden="false" customHeight="false" outlineLevel="0" collapsed="false">
      <c r="A252" s="4"/>
      <c r="B252" s="18"/>
      <c r="C252" s="18"/>
      <c r="D252" s="18"/>
      <c r="E252" s="18"/>
      <c r="F252" s="18"/>
      <c r="G252" s="5" t="str">
        <f aca="false">IF(A252="","",A252+7)</f>
        <v/>
      </c>
      <c r="H252" s="18"/>
      <c r="I252" s="5" t="str">
        <f aca="false">IF(A252="","",A252+21)</f>
        <v/>
      </c>
      <c r="J252" s="18"/>
      <c r="K252" s="17" t="str">
        <f aca="true">IF(A252="","",IF(J252="Sí","Cerrado",IF(AND(H252&lt;&gt;"Sí",TODAY()&gt;=G252),"Repasar (1)",IF(AND(H252="Sí",TODAY()&gt;=I252),"Repasar (2)","En espera"))))</f>
        <v/>
      </c>
    </row>
    <row r="253" customFormat="false" ht="15" hidden="false" customHeight="false" outlineLevel="0" collapsed="false">
      <c r="A253" s="4"/>
      <c r="B253" s="18"/>
      <c r="C253" s="18"/>
      <c r="D253" s="18"/>
      <c r="E253" s="18"/>
      <c r="F253" s="18"/>
      <c r="G253" s="5" t="str">
        <f aca="false">IF(A253="","",A253+7)</f>
        <v/>
      </c>
      <c r="H253" s="18"/>
      <c r="I253" s="5" t="str">
        <f aca="false">IF(A253="","",A253+21)</f>
        <v/>
      </c>
      <c r="J253" s="18"/>
      <c r="K253" s="17" t="str">
        <f aca="true">IF(A253="","",IF(J253="Sí","Cerrado",IF(AND(H253&lt;&gt;"Sí",TODAY()&gt;=G253),"Repasar (1)",IF(AND(H253="Sí",TODAY()&gt;=I253),"Repasar (2)","En espera"))))</f>
        <v/>
      </c>
    </row>
    <row r="254" customFormat="false" ht="15" hidden="false" customHeight="false" outlineLevel="0" collapsed="false">
      <c r="A254" s="4"/>
      <c r="B254" s="18"/>
      <c r="C254" s="18"/>
      <c r="D254" s="18"/>
      <c r="E254" s="18"/>
      <c r="F254" s="18"/>
      <c r="G254" s="5" t="str">
        <f aca="false">IF(A254="","",A254+7)</f>
        <v/>
      </c>
      <c r="H254" s="18"/>
      <c r="I254" s="5" t="str">
        <f aca="false">IF(A254="","",A254+21)</f>
        <v/>
      </c>
      <c r="J254" s="18"/>
      <c r="K254" s="17" t="str">
        <f aca="true">IF(A254="","",IF(J254="Sí","Cerrado",IF(AND(H254&lt;&gt;"Sí",TODAY()&gt;=G254),"Repasar (1)",IF(AND(H254="Sí",TODAY()&gt;=I254),"Repasar (2)","En espera"))))</f>
        <v/>
      </c>
    </row>
    <row r="255" customFormat="false" ht="15" hidden="false" customHeight="false" outlineLevel="0" collapsed="false">
      <c r="A255" s="4"/>
      <c r="B255" s="18"/>
      <c r="C255" s="18"/>
      <c r="D255" s="18"/>
      <c r="E255" s="18"/>
      <c r="F255" s="18"/>
      <c r="G255" s="5" t="str">
        <f aca="false">IF(A255="","",A255+7)</f>
        <v/>
      </c>
      <c r="H255" s="18"/>
      <c r="I255" s="5" t="str">
        <f aca="false">IF(A255="","",A255+21)</f>
        <v/>
      </c>
      <c r="J255" s="18"/>
      <c r="K255" s="17" t="str">
        <f aca="true">IF(A255="","",IF(J255="Sí","Cerrado",IF(AND(H255&lt;&gt;"Sí",TODAY()&gt;=G255),"Repasar (1)",IF(AND(H255="Sí",TODAY()&gt;=I255),"Repasar (2)","En espera"))))</f>
        <v/>
      </c>
    </row>
    <row r="256" customFormat="false" ht="15" hidden="false" customHeight="false" outlineLevel="0" collapsed="false">
      <c r="A256" s="4"/>
      <c r="B256" s="18"/>
      <c r="C256" s="18"/>
      <c r="D256" s="18"/>
      <c r="E256" s="18"/>
      <c r="F256" s="18"/>
      <c r="G256" s="5" t="str">
        <f aca="false">IF(A256="","",A256+7)</f>
        <v/>
      </c>
      <c r="H256" s="18"/>
      <c r="I256" s="5" t="str">
        <f aca="false">IF(A256="","",A256+21)</f>
        <v/>
      </c>
      <c r="J256" s="18"/>
      <c r="K256" s="17" t="str">
        <f aca="true">IF(A256="","",IF(J256="Sí","Cerrado",IF(AND(H256&lt;&gt;"Sí",TODAY()&gt;=G256),"Repasar (1)",IF(AND(H256="Sí",TODAY()&gt;=I256),"Repasar (2)","En espera"))))</f>
        <v/>
      </c>
    </row>
    <row r="257" customFormat="false" ht="15" hidden="false" customHeight="false" outlineLevel="0" collapsed="false">
      <c r="A257" s="4"/>
      <c r="B257" s="18"/>
      <c r="C257" s="18"/>
      <c r="D257" s="18"/>
      <c r="E257" s="18"/>
      <c r="F257" s="18"/>
      <c r="G257" s="5" t="str">
        <f aca="false">IF(A257="","",A257+7)</f>
        <v/>
      </c>
      <c r="H257" s="18"/>
      <c r="I257" s="5" t="str">
        <f aca="false">IF(A257="","",A257+21)</f>
        <v/>
      </c>
      <c r="J257" s="18"/>
      <c r="K257" s="17" t="str">
        <f aca="true">IF(A257="","",IF(J257="Sí","Cerrado",IF(AND(H257&lt;&gt;"Sí",TODAY()&gt;=G257),"Repasar (1)",IF(AND(H257="Sí",TODAY()&gt;=I257),"Repasar (2)","En espera"))))</f>
        <v/>
      </c>
    </row>
    <row r="258" customFormat="false" ht="15" hidden="false" customHeight="false" outlineLevel="0" collapsed="false">
      <c r="A258" s="4"/>
      <c r="B258" s="18"/>
      <c r="C258" s="18"/>
      <c r="D258" s="18"/>
      <c r="E258" s="18"/>
      <c r="F258" s="18"/>
      <c r="G258" s="5" t="str">
        <f aca="false">IF(A258="","",A258+7)</f>
        <v/>
      </c>
      <c r="H258" s="18"/>
      <c r="I258" s="5" t="str">
        <f aca="false">IF(A258="","",A258+21)</f>
        <v/>
      </c>
      <c r="J258" s="18"/>
      <c r="K258" s="17" t="str">
        <f aca="true">IF(A258="","",IF(J258="Sí","Cerrado",IF(AND(H258&lt;&gt;"Sí",TODAY()&gt;=G258),"Repasar (1)",IF(AND(H258="Sí",TODAY()&gt;=I258),"Repasar (2)","En espera"))))</f>
        <v/>
      </c>
    </row>
    <row r="259" customFormat="false" ht="15" hidden="false" customHeight="false" outlineLevel="0" collapsed="false">
      <c r="A259" s="4"/>
      <c r="B259" s="18"/>
      <c r="C259" s="18"/>
      <c r="D259" s="18"/>
      <c r="E259" s="18"/>
      <c r="F259" s="18"/>
      <c r="G259" s="5" t="str">
        <f aca="false">IF(A259="","",A259+7)</f>
        <v/>
      </c>
      <c r="H259" s="18"/>
      <c r="I259" s="5" t="str">
        <f aca="false">IF(A259="","",A259+21)</f>
        <v/>
      </c>
      <c r="J259" s="18"/>
      <c r="K259" s="17" t="str">
        <f aca="true">IF(A259="","",IF(J259="Sí","Cerrado",IF(AND(H259&lt;&gt;"Sí",TODAY()&gt;=G259),"Repasar (1)",IF(AND(H259="Sí",TODAY()&gt;=I259),"Repasar (2)","En espera"))))</f>
        <v/>
      </c>
    </row>
    <row r="260" customFormat="false" ht="15" hidden="false" customHeight="false" outlineLevel="0" collapsed="false">
      <c r="A260" s="4"/>
      <c r="B260" s="18"/>
      <c r="C260" s="18"/>
      <c r="D260" s="18"/>
      <c r="E260" s="18"/>
      <c r="F260" s="18"/>
      <c r="G260" s="5" t="str">
        <f aca="false">IF(A260="","",A260+7)</f>
        <v/>
      </c>
      <c r="H260" s="18"/>
      <c r="I260" s="5" t="str">
        <f aca="false">IF(A260="","",A260+21)</f>
        <v/>
      </c>
      <c r="J260" s="18"/>
      <c r="K260" s="17" t="str">
        <f aca="true">IF(A260="","",IF(J260="Sí","Cerrado",IF(AND(H260&lt;&gt;"Sí",TODAY()&gt;=G260),"Repasar (1)",IF(AND(H260="Sí",TODAY()&gt;=I260),"Repasar (2)","En espera"))))</f>
        <v/>
      </c>
    </row>
    <row r="261" customFormat="false" ht="15" hidden="false" customHeight="false" outlineLevel="0" collapsed="false">
      <c r="A261" s="4"/>
      <c r="B261" s="18"/>
      <c r="C261" s="18"/>
      <c r="D261" s="18"/>
      <c r="E261" s="18"/>
      <c r="F261" s="18"/>
      <c r="G261" s="5" t="str">
        <f aca="false">IF(A261="","",A261+7)</f>
        <v/>
      </c>
      <c r="H261" s="18"/>
      <c r="I261" s="5" t="str">
        <f aca="false">IF(A261="","",A261+21)</f>
        <v/>
      </c>
      <c r="J261" s="18"/>
      <c r="K261" s="17" t="str">
        <f aca="true">IF(A261="","",IF(J261="Sí","Cerrado",IF(AND(H261&lt;&gt;"Sí",TODAY()&gt;=G261),"Repasar (1)",IF(AND(H261="Sí",TODAY()&gt;=I261),"Repasar (2)","En espera"))))</f>
        <v/>
      </c>
    </row>
    <row r="262" customFormat="false" ht="15" hidden="false" customHeight="false" outlineLevel="0" collapsed="false">
      <c r="A262" s="4"/>
      <c r="B262" s="18"/>
      <c r="C262" s="18"/>
      <c r="D262" s="18"/>
      <c r="E262" s="18"/>
      <c r="F262" s="18"/>
      <c r="G262" s="5" t="str">
        <f aca="false">IF(A262="","",A262+7)</f>
        <v/>
      </c>
      <c r="H262" s="18"/>
      <c r="I262" s="5" t="str">
        <f aca="false">IF(A262="","",A262+21)</f>
        <v/>
      </c>
      <c r="J262" s="18"/>
      <c r="K262" s="17" t="str">
        <f aca="true">IF(A262="","",IF(J262="Sí","Cerrado",IF(AND(H262&lt;&gt;"Sí",TODAY()&gt;=G262),"Repasar (1)",IF(AND(H262="Sí",TODAY()&gt;=I262),"Repasar (2)","En espera"))))</f>
        <v/>
      </c>
    </row>
    <row r="263" customFormat="false" ht="15" hidden="false" customHeight="false" outlineLevel="0" collapsed="false">
      <c r="A263" s="4"/>
      <c r="B263" s="18"/>
      <c r="C263" s="18"/>
      <c r="D263" s="18"/>
      <c r="E263" s="18"/>
      <c r="F263" s="18"/>
      <c r="G263" s="5" t="str">
        <f aca="false">IF(A263="","",A263+7)</f>
        <v/>
      </c>
      <c r="H263" s="18"/>
      <c r="I263" s="5" t="str">
        <f aca="false">IF(A263="","",A263+21)</f>
        <v/>
      </c>
      <c r="J263" s="18"/>
      <c r="K263" s="17" t="str">
        <f aca="true">IF(A263="","",IF(J263="Sí","Cerrado",IF(AND(H263&lt;&gt;"Sí",TODAY()&gt;=G263),"Repasar (1)",IF(AND(H263="Sí",TODAY()&gt;=I263),"Repasar (2)","En espera"))))</f>
        <v/>
      </c>
    </row>
    <row r="264" customFormat="false" ht="15" hidden="false" customHeight="false" outlineLevel="0" collapsed="false">
      <c r="A264" s="4"/>
      <c r="B264" s="18"/>
      <c r="C264" s="18"/>
      <c r="D264" s="18"/>
      <c r="E264" s="18"/>
      <c r="F264" s="18"/>
      <c r="G264" s="5" t="str">
        <f aca="false">IF(A264="","",A264+7)</f>
        <v/>
      </c>
      <c r="H264" s="18"/>
      <c r="I264" s="5" t="str">
        <f aca="false">IF(A264="","",A264+21)</f>
        <v/>
      </c>
      <c r="J264" s="18"/>
      <c r="K264" s="17" t="str">
        <f aca="true">IF(A264="","",IF(J264="Sí","Cerrado",IF(AND(H264&lt;&gt;"Sí",TODAY()&gt;=G264),"Repasar (1)",IF(AND(H264="Sí",TODAY()&gt;=I264),"Repasar (2)","En espera"))))</f>
        <v/>
      </c>
    </row>
    <row r="265" customFormat="false" ht="15" hidden="false" customHeight="false" outlineLevel="0" collapsed="false">
      <c r="A265" s="4"/>
      <c r="B265" s="18"/>
      <c r="C265" s="18"/>
      <c r="D265" s="18"/>
      <c r="E265" s="18"/>
      <c r="F265" s="18"/>
      <c r="G265" s="5" t="str">
        <f aca="false">IF(A265="","",A265+7)</f>
        <v/>
      </c>
      <c r="H265" s="18"/>
      <c r="I265" s="5" t="str">
        <f aca="false">IF(A265="","",A265+21)</f>
        <v/>
      </c>
      <c r="J265" s="18"/>
      <c r="K265" s="17" t="str">
        <f aca="true">IF(A265="","",IF(J265="Sí","Cerrado",IF(AND(H265&lt;&gt;"Sí",TODAY()&gt;=G265),"Repasar (1)",IF(AND(H265="Sí",TODAY()&gt;=I265),"Repasar (2)","En espera"))))</f>
        <v/>
      </c>
    </row>
    <row r="266" customFormat="false" ht="15" hidden="false" customHeight="false" outlineLevel="0" collapsed="false">
      <c r="A266" s="4"/>
      <c r="B266" s="18"/>
      <c r="C266" s="18"/>
      <c r="D266" s="18"/>
      <c r="E266" s="18"/>
      <c r="F266" s="18"/>
      <c r="G266" s="5" t="str">
        <f aca="false">IF(A266="","",A266+7)</f>
        <v/>
      </c>
      <c r="H266" s="18"/>
      <c r="I266" s="5" t="str">
        <f aca="false">IF(A266="","",A266+21)</f>
        <v/>
      </c>
      <c r="J266" s="18"/>
      <c r="K266" s="17" t="str">
        <f aca="true">IF(A266="","",IF(J266="Sí","Cerrado",IF(AND(H266&lt;&gt;"Sí",TODAY()&gt;=G266),"Repasar (1)",IF(AND(H266="Sí",TODAY()&gt;=I266),"Repasar (2)","En espera"))))</f>
        <v/>
      </c>
    </row>
    <row r="267" customFormat="false" ht="15" hidden="false" customHeight="false" outlineLevel="0" collapsed="false">
      <c r="A267" s="4"/>
      <c r="B267" s="18"/>
      <c r="C267" s="18"/>
      <c r="D267" s="18"/>
      <c r="E267" s="18"/>
      <c r="F267" s="18"/>
      <c r="G267" s="5" t="str">
        <f aca="false">IF(A267="","",A267+7)</f>
        <v/>
      </c>
      <c r="H267" s="18"/>
      <c r="I267" s="5" t="str">
        <f aca="false">IF(A267="","",A267+21)</f>
        <v/>
      </c>
      <c r="J267" s="18"/>
      <c r="K267" s="17" t="str">
        <f aca="true">IF(A267="","",IF(J267="Sí","Cerrado",IF(AND(H267&lt;&gt;"Sí",TODAY()&gt;=G267),"Repasar (1)",IF(AND(H267="Sí",TODAY()&gt;=I267),"Repasar (2)","En espera"))))</f>
        <v/>
      </c>
    </row>
    <row r="268" customFormat="false" ht="15" hidden="false" customHeight="false" outlineLevel="0" collapsed="false">
      <c r="A268" s="4"/>
      <c r="B268" s="18"/>
      <c r="C268" s="18"/>
      <c r="D268" s="18"/>
      <c r="E268" s="18"/>
      <c r="F268" s="18"/>
      <c r="G268" s="5" t="str">
        <f aca="false">IF(A268="","",A268+7)</f>
        <v/>
      </c>
      <c r="H268" s="18"/>
      <c r="I268" s="5" t="str">
        <f aca="false">IF(A268="","",A268+21)</f>
        <v/>
      </c>
      <c r="J268" s="18"/>
      <c r="K268" s="17" t="str">
        <f aca="true">IF(A268="","",IF(J268="Sí","Cerrado",IF(AND(H268&lt;&gt;"Sí",TODAY()&gt;=G268),"Repasar (1)",IF(AND(H268="Sí",TODAY()&gt;=I268),"Repasar (2)","En espera"))))</f>
        <v/>
      </c>
    </row>
    <row r="269" customFormat="false" ht="15" hidden="false" customHeight="false" outlineLevel="0" collapsed="false">
      <c r="A269" s="4"/>
      <c r="B269" s="18"/>
      <c r="C269" s="18"/>
      <c r="D269" s="18"/>
      <c r="E269" s="18"/>
      <c r="F269" s="18"/>
      <c r="G269" s="5" t="str">
        <f aca="false">IF(A269="","",A269+7)</f>
        <v/>
      </c>
      <c r="H269" s="18"/>
      <c r="I269" s="5" t="str">
        <f aca="false">IF(A269="","",A269+21)</f>
        <v/>
      </c>
      <c r="J269" s="18"/>
      <c r="K269" s="17" t="str">
        <f aca="true">IF(A269="","",IF(J269="Sí","Cerrado",IF(AND(H269&lt;&gt;"Sí",TODAY()&gt;=G269),"Repasar (1)",IF(AND(H269="Sí",TODAY()&gt;=I269),"Repasar (2)","En espera"))))</f>
        <v/>
      </c>
    </row>
    <row r="270" customFormat="false" ht="15" hidden="false" customHeight="false" outlineLevel="0" collapsed="false">
      <c r="A270" s="4"/>
      <c r="B270" s="18"/>
      <c r="C270" s="18"/>
      <c r="D270" s="18"/>
      <c r="E270" s="18"/>
      <c r="F270" s="18"/>
      <c r="G270" s="5" t="str">
        <f aca="false">IF(A270="","",A270+7)</f>
        <v/>
      </c>
      <c r="H270" s="18"/>
      <c r="I270" s="5" t="str">
        <f aca="false">IF(A270="","",A270+21)</f>
        <v/>
      </c>
      <c r="J270" s="18"/>
      <c r="K270" s="17" t="str">
        <f aca="true">IF(A270="","",IF(J270="Sí","Cerrado",IF(AND(H270&lt;&gt;"Sí",TODAY()&gt;=G270),"Repasar (1)",IF(AND(H270="Sí",TODAY()&gt;=I270),"Repasar (2)","En espera"))))</f>
        <v/>
      </c>
    </row>
    <row r="271" customFormat="false" ht="15" hidden="false" customHeight="false" outlineLevel="0" collapsed="false">
      <c r="A271" s="4"/>
      <c r="B271" s="18"/>
      <c r="C271" s="18"/>
      <c r="D271" s="18"/>
      <c r="E271" s="18"/>
      <c r="F271" s="18"/>
      <c r="G271" s="5" t="str">
        <f aca="false">IF(A271="","",A271+7)</f>
        <v/>
      </c>
      <c r="H271" s="18"/>
      <c r="I271" s="5" t="str">
        <f aca="false">IF(A271="","",A271+21)</f>
        <v/>
      </c>
      <c r="J271" s="18"/>
      <c r="K271" s="17" t="str">
        <f aca="true">IF(A271="","",IF(J271="Sí","Cerrado",IF(AND(H271&lt;&gt;"Sí",TODAY()&gt;=G271),"Repasar (1)",IF(AND(H271="Sí",TODAY()&gt;=I271),"Repasar (2)","En espera"))))</f>
        <v/>
      </c>
    </row>
    <row r="272" customFormat="false" ht="15" hidden="false" customHeight="false" outlineLevel="0" collapsed="false">
      <c r="A272" s="4"/>
      <c r="B272" s="18"/>
      <c r="C272" s="18"/>
      <c r="D272" s="18"/>
      <c r="E272" s="18"/>
      <c r="F272" s="18"/>
      <c r="G272" s="5" t="str">
        <f aca="false">IF(A272="","",A272+7)</f>
        <v/>
      </c>
      <c r="H272" s="18"/>
      <c r="I272" s="5" t="str">
        <f aca="false">IF(A272="","",A272+21)</f>
        <v/>
      </c>
      <c r="J272" s="18"/>
      <c r="K272" s="17" t="str">
        <f aca="true">IF(A272="","",IF(J272="Sí","Cerrado",IF(AND(H272&lt;&gt;"Sí",TODAY()&gt;=G272),"Repasar (1)",IF(AND(H272="Sí",TODAY()&gt;=I272),"Repasar (2)","En espera"))))</f>
        <v/>
      </c>
    </row>
    <row r="273" customFormat="false" ht="15" hidden="false" customHeight="false" outlineLevel="0" collapsed="false">
      <c r="A273" s="4"/>
      <c r="B273" s="18"/>
      <c r="C273" s="18"/>
      <c r="D273" s="18"/>
      <c r="E273" s="18"/>
      <c r="F273" s="18"/>
      <c r="G273" s="5" t="str">
        <f aca="false">IF(A273="","",A273+7)</f>
        <v/>
      </c>
      <c r="H273" s="18"/>
      <c r="I273" s="5" t="str">
        <f aca="false">IF(A273="","",A273+21)</f>
        <v/>
      </c>
      <c r="J273" s="18"/>
      <c r="K273" s="17" t="str">
        <f aca="true">IF(A273="","",IF(J273="Sí","Cerrado",IF(AND(H273&lt;&gt;"Sí",TODAY()&gt;=G273),"Repasar (1)",IF(AND(H273="Sí",TODAY()&gt;=I273),"Repasar (2)","En espera"))))</f>
        <v/>
      </c>
    </row>
    <row r="274" customFormat="false" ht="15" hidden="false" customHeight="false" outlineLevel="0" collapsed="false">
      <c r="A274" s="4"/>
      <c r="B274" s="18"/>
      <c r="C274" s="18"/>
      <c r="D274" s="18"/>
      <c r="E274" s="18"/>
      <c r="F274" s="18"/>
      <c r="G274" s="5" t="str">
        <f aca="false">IF(A274="","",A274+7)</f>
        <v/>
      </c>
      <c r="H274" s="18"/>
      <c r="I274" s="5" t="str">
        <f aca="false">IF(A274="","",A274+21)</f>
        <v/>
      </c>
      <c r="J274" s="18"/>
      <c r="K274" s="17" t="str">
        <f aca="true">IF(A274="","",IF(J274="Sí","Cerrado",IF(AND(H274&lt;&gt;"Sí",TODAY()&gt;=G274),"Repasar (1)",IF(AND(H274="Sí",TODAY()&gt;=I274),"Repasar (2)","En espera"))))</f>
        <v/>
      </c>
    </row>
    <row r="275" customFormat="false" ht="15" hidden="false" customHeight="false" outlineLevel="0" collapsed="false">
      <c r="A275" s="4"/>
      <c r="B275" s="18"/>
      <c r="C275" s="18"/>
      <c r="D275" s="18"/>
      <c r="E275" s="18"/>
      <c r="F275" s="18"/>
      <c r="G275" s="5" t="str">
        <f aca="false">IF(A275="","",A275+7)</f>
        <v/>
      </c>
      <c r="H275" s="18"/>
      <c r="I275" s="5" t="str">
        <f aca="false">IF(A275="","",A275+21)</f>
        <v/>
      </c>
      <c r="J275" s="18"/>
      <c r="K275" s="17" t="str">
        <f aca="true">IF(A275="","",IF(J275="Sí","Cerrado",IF(AND(H275&lt;&gt;"Sí",TODAY()&gt;=G275),"Repasar (1)",IF(AND(H275="Sí",TODAY()&gt;=I275),"Repasar (2)","En espera"))))</f>
        <v/>
      </c>
    </row>
    <row r="276" customFormat="false" ht="15" hidden="false" customHeight="false" outlineLevel="0" collapsed="false">
      <c r="A276" s="4"/>
      <c r="B276" s="18"/>
      <c r="C276" s="18"/>
      <c r="D276" s="18"/>
      <c r="E276" s="18"/>
      <c r="F276" s="18"/>
      <c r="G276" s="5" t="str">
        <f aca="false">IF(A276="","",A276+7)</f>
        <v/>
      </c>
      <c r="H276" s="18"/>
      <c r="I276" s="5" t="str">
        <f aca="false">IF(A276="","",A276+21)</f>
        <v/>
      </c>
      <c r="J276" s="18"/>
      <c r="K276" s="17" t="str">
        <f aca="true">IF(A276="","",IF(J276="Sí","Cerrado",IF(AND(H276&lt;&gt;"Sí",TODAY()&gt;=G276),"Repasar (1)",IF(AND(H276="Sí",TODAY()&gt;=I276),"Repasar (2)","En espera"))))</f>
        <v/>
      </c>
    </row>
    <row r="277" customFormat="false" ht="15" hidden="false" customHeight="false" outlineLevel="0" collapsed="false">
      <c r="A277" s="4"/>
      <c r="B277" s="18"/>
      <c r="C277" s="18"/>
      <c r="D277" s="18"/>
      <c r="E277" s="18"/>
      <c r="F277" s="18"/>
      <c r="G277" s="5" t="str">
        <f aca="false">IF(A277="","",A277+7)</f>
        <v/>
      </c>
      <c r="H277" s="18"/>
      <c r="I277" s="5" t="str">
        <f aca="false">IF(A277="","",A277+21)</f>
        <v/>
      </c>
      <c r="J277" s="18"/>
      <c r="K277" s="17" t="str">
        <f aca="true">IF(A277="","",IF(J277="Sí","Cerrado",IF(AND(H277&lt;&gt;"Sí",TODAY()&gt;=G277),"Repasar (1)",IF(AND(H277="Sí",TODAY()&gt;=I277),"Repasar (2)","En espera"))))</f>
        <v/>
      </c>
    </row>
    <row r="278" customFormat="false" ht="15" hidden="false" customHeight="false" outlineLevel="0" collapsed="false">
      <c r="A278" s="4"/>
      <c r="B278" s="18"/>
      <c r="C278" s="18"/>
      <c r="D278" s="18"/>
      <c r="E278" s="18"/>
      <c r="F278" s="18"/>
      <c r="G278" s="5" t="str">
        <f aca="false">IF(A278="","",A278+7)</f>
        <v/>
      </c>
      <c r="H278" s="18"/>
      <c r="I278" s="5" t="str">
        <f aca="false">IF(A278="","",A278+21)</f>
        <v/>
      </c>
      <c r="J278" s="18"/>
      <c r="K278" s="17" t="str">
        <f aca="true">IF(A278="","",IF(J278="Sí","Cerrado",IF(AND(H278&lt;&gt;"Sí",TODAY()&gt;=G278),"Repasar (1)",IF(AND(H278="Sí",TODAY()&gt;=I278),"Repasar (2)","En espera"))))</f>
        <v/>
      </c>
    </row>
    <row r="279" customFormat="false" ht="15" hidden="false" customHeight="false" outlineLevel="0" collapsed="false">
      <c r="A279" s="4"/>
      <c r="B279" s="18"/>
      <c r="C279" s="18"/>
      <c r="D279" s="18"/>
      <c r="E279" s="18"/>
      <c r="F279" s="18"/>
      <c r="G279" s="5" t="str">
        <f aca="false">IF(A279="","",A279+7)</f>
        <v/>
      </c>
      <c r="H279" s="18"/>
      <c r="I279" s="5" t="str">
        <f aca="false">IF(A279="","",A279+21)</f>
        <v/>
      </c>
      <c r="J279" s="18"/>
      <c r="K279" s="17" t="str">
        <f aca="true">IF(A279="","",IF(J279="Sí","Cerrado",IF(AND(H279&lt;&gt;"Sí",TODAY()&gt;=G279),"Repasar (1)",IF(AND(H279="Sí",TODAY()&gt;=I279),"Repasar (2)","En espera"))))</f>
        <v/>
      </c>
    </row>
    <row r="280" customFormat="false" ht="15" hidden="false" customHeight="false" outlineLevel="0" collapsed="false">
      <c r="A280" s="4"/>
      <c r="B280" s="18"/>
      <c r="C280" s="18"/>
      <c r="D280" s="18"/>
      <c r="E280" s="18"/>
      <c r="F280" s="18"/>
      <c r="G280" s="5" t="str">
        <f aca="false">IF(A280="","",A280+7)</f>
        <v/>
      </c>
      <c r="H280" s="18"/>
      <c r="I280" s="5" t="str">
        <f aca="false">IF(A280="","",A280+21)</f>
        <v/>
      </c>
      <c r="J280" s="18"/>
      <c r="K280" s="17" t="str">
        <f aca="true">IF(A280="","",IF(J280="Sí","Cerrado",IF(AND(H280&lt;&gt;"Sí",TODAY()&gt;=G280),"Repasar (1)",IF(AND(H280="Sí",TODAY()&gt;=I280),"Repasar (2)","En espera"))))</f>
        <v/>
      </c>
    </row>
    <row r="281" customFormat="false" ht="15" hidden="false" customHeight="false" outlineLevel="0" collapsed="false">
      <c r="A281" s="4"/>
      <c r="B281" s="18"/>
      <c r="C281" s="18"/>
      <c r="D281" s="18"/>
      <c r="E281" s="18"/>
      <c r="F281" s="18"/>
      <c r="G281" s="5" t="str">
        <f aca="false">IF(A281="","",A281+7)</f>
        <v/>
      </c>
      <c r="H281" s="18"/>
      <c r="I281" s="5" t="str">
        <f aca="false">IF(A281="","",A281+21)</f>
        <v/>
      </c>
      <c r="J281" s="18"/>
      <c r="K281" s="17" t="str">
        <f aca="true">IF(A281="","",IF(J281="Sí","Cerrado",IF(AND(H281&lt;&gt;"Sí",TODAY()&gt;=G281),"Repasar (1)",IF(AND(H281="Sí",TODAY()&gt;=I281),"Repasar (2)","En espera"))))</f>
        <v/>
      </c>
    </row>
    <row r="282" customFormat="false" ht="15" hidden="false" customHeight="false" outlineLevel="0" collapsed="false">
      <c r="A282" s="4"/>
      <c r="B282" s="18"/>
      <c r="C282" s="18"/>
      <c r="D282" s="18"/>
      <c r="E282" s="18"/>
      <c r="F282" s="18"/>
      <c r="G282" s="5" t="str">
        <f aca="false">IF(A282="","",A282+7)</f>
        <v/>
      </c>
      <c r="H282" s="18"/>
      <c r="I282" s="5" t="str">
        <f aca="false">IF(A282="","",A282+21)</f>
        <v/>
      </c>
      <c r="J282" s="18"/>
      <c r="K282" s="17" t="str">
        <f aca="true">IF(A282="","",IF(J282="Sí","Cerrado",IF(AND(H282&lt;&gt;"Sí",TODAY()&gt;=G282),"Repasar (1)",IF(AND(H282="Sí",TODAY()&gt;=I282),"Repasar (2)","En espera"))))</f>
        <v/>
      </c>
    </row>
    <row r="283" customFormat="false" ht="15" hidden="false" customHeight="false" outlineLevel="0" collapsed="false">
      <c r="A283" s="4"/>
      <c r="B283" s="18"/>
      <c r="C283" s="18"/>
      <c r="D283" s="18"/>
      <c r="E283" s="18"/>
      <c r="F283" s="18"/>
      <c r="G283" s="5" t="str">
        <f aca="false">IF(A283="","",A283+7)</f>
        <v/>
      </c>
      <c r="H283" s="18"/>
      <c r="I283" s="5" t="str">
        <f aca="false">IF(A283="","",A283+21)</f>
        <v/>
      </c>
      <c r="J283" s="18"/>
      <c r="K283" s="17" t="str">
        <f aca="true">IF(A283="","",IF(J283="Sí","Cerrado",IF(AND(H283&lt;&gt;"Sí",TODAY()&gt;=G283),"Repasar (1)",IF(AND(H283="Sí",TODAY()&gt;=I283),"Repasar (2)","En espera"))))</f>
        <v/>
      </c>
    </row>
    <row r="284" customFormat="false" ht="15" hidden="false" customHeight="false" outlineLevel="0" collapsed="false">
      <c r="A284" s="4"/>
      <c r="B284" s="18"/>
      <c r="C284" s="18"/>
      <c r="D284" s="18"/>
      <c r="E284" s="18"/>
      <c r="F284" s="18"/>
      <c r="G284" s="5" t="str">
        <f aca="false">IF(A284="","",A284+7)</f>
        <v/>
      </c>
      <c r="H284" s="18"/>
      <c r="I284" s="5" t="str">
        <f aca="false">IF(A284="","",A284+21)</f>
        <v/>
      </c>
      <c r="J284" s="18"/>
      <c r="K284" s="17" t="str">
        <f aca="true">IF(A284="","",IF(J284="Sí","Cerrado",IF(AND(H284&lt;&gt;"Sí",TODAY()&gt;=G284),"Repasar (1)",IF(AND(H284="Sí",TODAY()&gt;=I284),"Repasar (2)","En espera"))))</f>
        <v/>
      </c>
    </row>
    <row r="285" customFormat="false" ht="15" hidden="false" customHeight="false" outlineLevel="0" collapsed="false">
      <c r="A285" s="4"/>
      <c r="B285" s="18"/>
      <c r="C285" s="18"/>
      <c r="D285" s="18"/>
      <c r="E285" s="18"/>
      <c r="F285" s="18"/>
      <c r="G285" s="5" t="str">
        <f aca="false">IF(A285="","",A285+7)</f>
        <v/>
      </c>
      <c r="H285" s="18"/>
      <c r="I285" s="5" t="str">
        <f aca="false">IF(A285="","",A285+21)</f>
        <v/>
      </c>
      <c r="J285" s="18"/>
      <c r="K285" s="17" t="str">
        <f aca="true">IF(A285="","",IF(J285="Sí","Cerrado",IF(AND(H285&lt;&gt;"Sí",TODAY()&gt;=G285),"Repasar (1)",IF(AND(H285="Sí",TODAY()&gt;=I285),"Repasar (2)","En espera"))))</f>
        <v/>
      </c>
    </row>
    <row r="286" customFormat="false" ht="15" hidden="false" customHeight="false" outlineLevel="0" collapsed="false">
      <c r="A286" s="4"/>
      <c r="B286" s="18"/>
      <c r="C286" s="18"/>
      <c r="D286" s="18"/>
      <c r="E286" s="18"/>
      <c r="F286" s="18"/>
      <c r="G286" s="5" t="str">
        <f aca="false">IF(A286="","",A286+7)</f>
        <v/>
      </c>
      <c r="H286" s="18"/>
      <c r="I286" s="5" t="str">
        <f aca="false">IF(A286="","",A286+21)</f>
        <v/>
      </c>
      <c r="J286" s="18"/>
      <c r="K286" s="17" t="str">
        <f aca="true">IF(A286="","",IF(J286="Sí","Cerrado",IF(AND(H286&lt;&gt;"Sí",TODAY()&gt;=G286),"Repasar (1)",IF(AND(H286="Sí",TODAY()&gt;=I286),"Repasar (2)","En espera"))))</f>
        <v/>
      </c>
    </row>
    <row r="287" customFormat="false" ht="15" hidden="false" customHeight="false" outlineLevel="0" collapsed="false">
      <c r="A287" s="4"/>
      <c r="B287" s="18"/>
      <c r="C287" s="18"/>
      <c r="D287" s="18"/>
      <c r="E287" s="18"/>
      <c r="F287" s="18"/>
      <c r="G287" s="5" t="str">
        <f aca="false">IF(A287="","",A287+7)</f>
        <v/>
      </c>
      <c r="H287" s="18"/>
      <c r="I287" s="5" t="str">
        <f aca="false">IF(A287="","",A287+21)</f>
        <v/>
      </c>
      <c r="J287" s="18"/>
      <c r="K287" s="17" t="str">
        <f aca="true">IF(A287="","",IF(J287="Sí","Cerrado",IF(AND(H287&lt;&gt;"Sí",TODAY()&gt;=G287),"Repasar (1)",IF(AND(H287="Sí",TODAY()&gt;=I287),"Repasar (2)","En espera"))))</f>
        <v/>
      </c>
    </row>
    <row r="288" customFormat="false" ht="15" hidden="false" customHeight="false" outlineLevel="0" collapsed="false">
      <c r="A288" s="4"/>
      <c r="B288" s="18"/>
      <c r="C288" s="18"/>
      <c r="D288" s="18"/>
      <c r="E288" s="18"/>
      <c r="F288" s="18"/>
      <c r="G288" s="5" t="str">
        <f aca="false">IF(A288="","",A288+7)</f>
        <v/>
      </c>
      <c r="H288" s="18"/>
      <c r="I288" s="5" t="str">
        <f aca="false">IF(A288="","",A288+21)</f>
        <v/>
      </c>
      <c r="J288" s="18"/>
      <c r="K288" s="17" t="str">
        <f aca="true">IF(A288="","",IF(J288="Sí","Cerrado",IF(AND(H288&lt;&gt;"Sí",TODAY()&gt;=G288),"Repasar (1)",IF(AND(H288="Sí",TODAY()&gt;=I288),"Repasar (2)","En espera"))))</f>
        <v/>
      </c>
    </row>
    <row r="289" customFormat="false" ht="15" hidden="false" customHeight="false" outlineLevel="0" collapsed="false">
      <c r="A289" s="4"/>
      <c r="B289" s="18"/>
      <c r="C289" s="18"/>
      <c r="D289" s="18"/>
      <c r="E289" s="18"/>
      <c r="F289" s="18"/>
      <c r="G289" s="5" t="str">
        <f aca="false">IF(A289="","",A289+7)</f>
        <v/>
      </c>
      <c r="H289" s="18"/>
      <c r="I289" s="5" t="str">
        <f aca="false">IF(A289="","",A289+21)</f>
        <v/>
      </c>
      <c r="J289" s="18"/>
      <c r="K289" s="17" t="str">
        <f aca="true">IF(A289="","",IF(J289="Sí","Cerrado",IF(AND(H289&lt;&gt;"Sí",TODAY()&gt;=G289),"Repasar (1)",IF(AND(H289="Sí",TODAY()&gt;=I289),"Repasar (2)","En espera"))))</f>
        <v/>
      </c>
    </row>
    <row r="290" customFormat="false" ht="15" hidden="false" customHeight="false" outlineLevel="0" collapsed="false">
      <c r="A290" s="4"/>
      <c r="B290" s="18"/>
      <c r="C290" s="18"/>
      <c r="D290" s="18"/>
      <c r="E290" s="18"/>
      <c r="F290" s="18"/>
      <c r="G290" s="5" t="str">
        <f aca="false">IF(A290="","",A290+7)</f>
        <v/>
      </c>
      <c r="H290" s="18"/>
      <c r="I290" s="5" t="str">
        <f aca="false">IF(A290="","",A290+21)</f>
        <v/>
      </c>
      <c r="J290" s="18"/>
      <c r="K290" s="17" t="str">
        <f aca="true">IF(A290="","",IF(J290="Sí","Cerrado",IF(AND(H290&lt;&gt;"Sí",TODAY()&gt;=G290),"Repasar (1)",IF(AND(H290="Sí",TODAY()&gt;=I290),"Repasar (2)","En espera"))))</f>
        <v/>
      </c>
    </row>
    <row r="291" customFormat="false" ht="15" hidden="false" customHeight="false" outlineLevel="0" collapsed="false">
      <c r="A291" s="4"/>
      <c r="B291" s="18"/>
      <c r="C291" s="18"/>
      <c r="D291" s="18"/>
      <c r="E291" s="18"/>
      <c r="F291" s="18"/>
      <c r="G291" s="5" t="str">
        <f aca="false">IF(A291="","",A291+7)</f>
        <v/>
      </c>
      <c r="H291" s="18"/>
      <c r="I291" s="5" t="str">
        <f aca="false">IF(A291="","",A291+21)</f>
        <v/>
      </c>
      <c r="J291" s="18"/>
      <c r="K291" s="17" t="str">
        <f aca="true">IF(A291="","",IF(J291="Sí","Cerrado",IF(AND(H291&lt;&gt;"Sí",TODAY()&gt;=G291),"Repasar (1)",IF(AND(H291="Sí",TODAY()&gt;=I291),"Repasar (2)","En espera"))))</f>
        <v/>
      </c>
    </row>
    <row r="292" customFormat="false" ht="15" hidden="false" customHeight="false" outlineLevel="0" collapsed="false">
      <c r="A292" s="4"/>
      <c r="B292" s="18"/>
      <c r="C292" s="18"/>
      <c r="D292" s="18"/>
      <c r="E292" s="18"/>
      <c r="F292" s="18"/>
      <c r="G292" s="5" t="str">
        <f aca="false">IF(A292="","",A292+7)</f>
        <v/>
      </c>
      <c r="H292" s="18"/>
      <c r="I292" s="5" t="str">
        <f aca="false">IF(A292="","",A292+21)</f>
        <v/>
      </c>
      <c r="J292" s="18"/>
      <c r="K292" s="17" t="str">
        <f aca="true">IF(A292="","",IF(J292="Sí","Cerrado",IF(AND(H292&lt;&gt;"Sí",TODAY()&gt;=G292),"Repasar (1)",IF(AND(H292="Sí",TODAY()&gt;=I292),"Repasar (2)","En espera"))))</f>
        <v/>
      </c>
    </row>
    <row r="293" customFormat="false" ht="15" hidden="false" customHeight="false" outlineLevel="0" collapsed="false">
      <c r="A293" s="4"/>
      <c r="B293" s="18"/>
      <c r="C293" s="18"/>
      <c r="D293" s="18"/>
      <c r="E293" s="18"/>
      <c r="F293" s="18"/>
      <c r="G293" s="5" t="str">
        <f aca="false">IF(A293="","",A293+7)</f>
        <v/>
      </c>
      <c r="H293" s="18"/>
      <c r="I293" s="5" t="str">
        <f aca="false">IF(A293="","",A293+21)</f>
        <v/>
      </c>
      <c r="J293" s="18"/>
      <c r="K293" s="17" t="str">
        <f aca="true">IF(A293="","",IF(J293="Sí","Cerrado",IF(AND(H293&lt;&gt;"Sí",TODAY()&gt;=G293),"Repasar (1)",IF(AND(H293="Sí",TODAY()&gt;=I293),"Repasar (2)","En espera"))))</f>
        <v/>
      </c>
    </row>
    <row r="294" customFormat="false" ht="15" hidden="false" customHeight="false" outlineLevel="0" collapsed="false">
      <c r="A294" s="4"/>
      <c r="B294" s="18"/>
      <c r="C294" s="18"/>
      <c r="D294" s="18"/>
      <c r="E294" s="18"/>
      <c r="F294" s="18"/>
      <c r="G294" s="5" t="str">
        <f aca="false">IF(A294="","",A294+7)</f>
        <v/>
      </c>
      <c r="H294" s="18"/>
      <c r="I294" s="5" t="str">
        <f aca="false">IF(A294="","",A294+21)</f>
        <v/>
      </c>
      <c r="J294" s="18"/>
      <c r="K294" s="17" t="str">
        <f aca="true">IF(A294="","",IF(J294="Sí","Cerrado",IF(AND(H294&lt;&gt;"Sí",TODAY()&gt;=G294),"Repasar (1)",IF(AND(H294="Sí",TODAY()&gt;=I294),"Repasar (2)","En espera"))))</f>
        <v/>
      </c>
    </row>
    <row r="295" customFormat="false" ht="15" hidden="false" customHeight="false" outlineLevel="0" collapsed="false">
      <c r="A295" s="4"/>
      <c r="B295" s="18"/>
      <c r="C295" s="18"/>
      <c r="D295" s="18"/>
      <c r="E295" s="18"/>
      <c r="F295" s="18"/>
      <c r="G295" s="5" t="str">
        <f aca="false">IF(A295="","",A295+7)</f>
        <v/>
      </c>
      <c r="H295" s="18"/>
      <c r="I295" s="5" t="str">
        <f aca="false">IF(A295="","",A295+21)</f>
        <v/>
      </c>
      <c r="J295" s="18"/>
      <c r="K295" s="17" t="str">
        <f aca="true">IF(A295="","",IF(J295="Sí","Cerrado",IF(AND(H295&lt;&gt;"Sí",TODAY()&gt;=G295),"Repasar (1)",IF(AND(H295="Sí",TODAY()&gt;=I295),"Repasar (2)","En espera"))))</f>
        <v/>
      </c>
    </row>
    <row r="296" customFormat="false" ht="15" hidden="false" customHeight="false" outlineLevel="0" collapsed="false">
      <c r="A296" s="4"/>
      <c r="B296" s="18"/>
      <c r="C296" s="18"/>
      <c r="D296" s="18"/>
      <c r="E296" s="18"/>
      <c r="F296" s="18"/>
      <c r="G296" s="5" t="str">
        <f aca="false">IF(A296="","",A296+7)</f>
        <v/>
      </c>
      <c r="H296" s="18"/>
      <c r="I296" s="5" t="str">
        <f aca="false">IF(A296="","",A296+21)</f>
        <v/>
      </c>
      <c r="J296" s="18"/>
      <c r="K296" s="17" t="str">
        <f aca="true">IF(A296="","",IF(J296="Sí","Cerrado",IF(AND(H296&lt;&gt;"Sí",TODAY()&gt;=G296),"Repasar (1)",IF(AND(H296="Sí",TODAY()&gt;=I296),"Repasar (2)","En espera"))))</f>
        <v/>
      </c>
    </row>
    <row r="297" customFormat="false" ht="15" hidden="false" customHeight="false" outlineLevel="0" collapsed="false">
      <c r="A297" s="4"/>
      <c r="B297" s="18"/>
      <c r="C297" s="18"/>
      <c r="D297" s="18"/>
      <c r="E297" s="18"/>
      <c r="F297" s="18"/>
      <c r="G297" s="5" t="str">
        <f aca="false">IF(A297="","",A297+7)</f>
        <v/>
      </c>
      <c r="H297" s="18"/>
      <c r="I297" s="5" t="str">
        <f aca="false">IF(A297="","",A297+21)</f>
        <v/>
      </c>
      <c r="J297" s="18"/>
      <c r="K297" s="17" t="str">
        <f aca="true">IF(A297="","",IF(J297="Sí","Cerrado",IF(AND(H297&lt;&gt;"Sí",TODAY()&gt;=G297),"Repasar (1)",IF(AND(H297="Sí",TODAY()&gt;=I297),"Repasar (2)","En espera"))))</f>
        <v/>
      </c>
    </row>
    <row r="298" customFormat="false" ht="15" hidden="false" customHeight="false" outlineLevel="0" collapsed="false">
      <c r="A298" s="4"/>
      <c r="B298" s="18"/>
      <c r="C298" s="18"/>
      <c r="D298" s="18"/>
      <c r="E298" s="18"/>
      <c r="F298" s="18"/>
      <c r="G298" s="5" t="str">
        <f aca="false">IF(A298="","",A298+7)</f>
        <v/>
      </c>
      <c r="H298" s="18"/>
      <c r="I298" s="5" t="str">
        <f aca="false">IF(A298="","",A298+21)</f>
        <v/>
      </c>
      <c r="J298" s="18"/>
      <c r="K298" s="17" t="str">
        <f aca="true">IF(A298="","",IF(J298="Sí","Cerrado",IF(AND(H298&lt;&gt;"Sí",TODAY()&gt;=G298),"Repasar (1)",IF(AND(H298="Sí",TODAY()&gt;=I298),"Repasar (2)","En espera"))))</f>
        <v/>
      </c>
    </row>
    <row r="299" customFormat="false" ht="15" hidden="false" customHeight="false" outlineLevel="0" collapsed="false">
      <c r="A299" s="4"/>
      <c r="B299" s="18"/>
      <c r="C299" s="18"/>
      <c r="D299" s="18"/>
      <c r="E299" s="18"/>
      <c r="F299" s="18"/>
      <c r="G299" s="5" t="str">
        <f aca="false">IF(A299="","",A299+7)</f>
        <v/>
      </c>
      <c r="H299" s="18"/>
      <c r="I299" s="5" t="str">
        <f aca="false">IF(A299="","",A299+21)</f>
        <v/>
      </c>
      <c r="J299" s="18"/>
      <c r="K299" s="17" t="str">
        <f aca="true">IF(A299="","",IF(J299="Sí","Cerrado",IF(AND(H299&lt;&gt;"Sí",TODAY()&gt;=G299),"Repasar (1)",IF(AND(H299="Sí",TODAY()&gt;=I299),"Repasar (2)","En espera"))))</f>
        <v/>
      </c>
    </row>
    <row r="300" customFormat="false" ht="15" hidden="false" customHeight="false" outlineLevel="0" collapsed="false">
      <c r="A300" s="4"/>
      <c r="B300" s="18"/>
      <c r="C300" s="18"/>
      <c r="D300" s="18"/>
      <c r="E300" s="18"/>
      <c r="F300" s="18"/>
      <c r="G300" s="5" t="str">
        <f aca="false">IF(A300="","",A300+7)</f>
        <v/>
      </c>
      <c r="H300" s="18"/>
      <c r="I300" s="5" t="str">
        <f aca="false">IF(A300="","",A300+21)</f>
        <v/>
      </c>
      <c r="J300" s="18"/>
      <c r="K300" s="17" t="str">
        <f aca="true">IF(A300="","",IF(J300="Sí","Cerrado",IF(AND(H300&lt;&gt;"Sí",TODAY()&gt;=G300),"Repasar (1)",IF(AND(H300="Sí",TODAY()&gt;=I300),"Repasar (2)","En espera"))))</f>
        <v/>
      </c>
    </row>
  </sheetData>
  <conditionalFormatting sqref="K6:K300">
    <cfRule type="expression" priority="2" aboveAverage="0" equalAverage="0" bottom="0" percent="0" rank="0" text="" dxfId="2">
      <formula>LEFT($K6,7)="Repasar"</formula>
    </cfRule>
    <cfRule type="expression" priority="3" aboveAverage="0" equalAverage="0" bottom="0" percent="0" rank="0" text="" dxfId="0">
      <formula>$K6="Cerrado"</formula>
    </cfRule>
  </conditionalFormatting>
  <dataValidations count="3">
    <dataValidation allowBlank="true" errorStyle="stop" operator="between" showDropDown="false" showErrorMessage="false" showInputMessage="false" sqref="E6:E300" type="list">
      <formula1>"Concepto,Fórmula,Lectura,Calculadora,Tiempo,Descuido"</formula1>
      <formula2>0</formula2>
    </dataValidation>
    <dataValidation allowBlank="true" errorStyle="stop" operator="between" showDropDown="false" showErrorMessage="false" showInputMessage="false" sqref="B6:B300" type="list">
      <formula1>"Ética,Quant,Economía,FSA,Corporate Issuers,Equity,Renta Fija,Derivados,Alternativos,Portafolio"</formula1>
      <formula2>0</formula2>
    </dataValidation>
    <dataValidation allowBlank="true" errorStyle="stop" operator="between" showDropDown="false" showErrorMessage="false" showInputMessage="false" sqref="H6:H300 J6:J30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36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23.85" hidden="false" customHeight="false" outlineLevel="0" collapsed="false">
      <c r="A4" s="15" t="s">
        <v>177</v>
      </c>
      <c r="B4" s="15" t="s">
        <v>178</v>
      </c>
      <c r="C4" s="15" t="s">
        <v>179</v>
      </c>
      <c r="D4" s="15" t="s">
        <v>180</v>
      </c>
      <c r="E4" s="15" t="s">
        <v>181</v>
      </c>
      <c r="F4" s="15" t="s">
        <v>27</v>
      </c>
      <c r="G4" s="15" t="s">
        <v>51</v>
      </c>
    </row>
    <row r="5" customFormat="false" ht="15" hidden="false" customHeight="false" outlineLevel="0" collapsed="false">
      <c r="A5" s="4" t="n">
        <v>46361</v>
      </c>
      <c r="B5" s="4" t="n">
        <v>46361</v>
      </c>
      <c r="C5" s="18" t="s">
        <v>182</v>
      </c>
      <c r="D5" s="18" t="n">
        <v>0</v>
      </c>
      <c r="E5" s="18" t="n">
        <v>0</v>
      </c>
      <c r="F5" s="18" t="s">
        <v>183</v>
      </c>
      <c r="G5" s="18" t="s">
        <v>184</v>
      </c>
    </row>
    <row r="6" customFormat="false" ht="15" hidden="false" customHeight="false" outlineLevel="0" collapsed="false">
      <c r="A6" s="4" t="n">
        <v>46368</v>
      </c>
      <c r="B6" s="4" t="n">
        <v>46368</v>
      </c>
      <c r="C6" s="18" t="s">
        <v>182</v>
      </c>
      <c r="D6" s="18" t="n">
        <v>0</v>
      </c>
      <c r="E6" s="18" t="n">
        <v>0</v>
      </c>
      <c r="F6" s="18" t="s">
        <v>183</v>
      </c>
      <c r="G6" s="18" t="s">
        <v>184</v>
      </c>
    </row>
    <row r="7" customFormat="false" ht="15" hidden="false" customHeight="false" outlineLevel="0" collapsed="false">
      <c r="A7" s="4" t="n">
        <v>46364</v>
      </c>
      <c r="B7" s="4" t="n">
        <v>46364</v>
      </c>
      <c r="C7" s="18" t="s">
        <v>185</v>
      </c>
      <c r="D7" s="18" t="n">
        <v>0</v>
      </c>
      <c r="E7" s="18" t="n">
        <v>1</v>
      </c>
      <c r="F7" s="18" t="s">
        <v>186</v>
      </c>
      <c r="G7" s="18" t="s">
        <v>187</v>
      </c>
    </row>
    <row r="8" customFormat="false" ht="15" hidden="false" customHeight="false" outlineLevel="0" collapsed="false">
      <c r="A8" s="4" t="n">
        <v>46380</v>
      </c>
      <c r="B8" s="4" t="n">
        <v>46381</v>
      </c>
      <c r="C8" s="18" t="s">
        <v>188</v>
      </c>
      <c r="D8" s="18" t="n">
        <v>1</v>
      </c>
      <c r="E8" s="18" t="n">
        <v>0</v>
      </c>
      <c r="F8" s="18" t="s">
        <v>189</v>
      </c>
      <c r="G8" s="18" t="s">
        <v>190</v>
      </c>
    </row>
    <row r="9" customFormat="false" ht="15" hidden="false" customHeight="false" outlineLevel="0" collapsed="false">
      <c r="A9" s="4" t="n">
        <v>46387</v>
      </c>
      <c r="B9" s="4" t="n">
        <v>46387</v>
      </c>
      <c r="C9" s="18" t="s">
        <v>191</v>
      </c>
      <c r="D9" s="18" t="n">
        <v>1</v>
      </c>
      <c r="E9" s="18" t="n">
        <v>0</v>
      </c>
      <c r="F9" s="18" t="s">
        <v>189</v>
      </c>
      <c r="G9" s="18"/>
    </row>
    <row r="10" customFormat="false" ht="15" hidden="false" customHeight="false" outlineLevel="0" collapsed="false">
      <c r="A10" s="4" t="n">
        <v>46388</v>
      </c>
      <c r="B10" s="4" t="n">
        <v>46388</v>
      </c>
      <c r="C10" s="18" t="s">
        <v>192</v>
      </c>
      <c r="D10" s="18" t="n">
        <v>0.5</v>
      </c>
      <c r="E10" s="18" t="n">
        <v>0</v>
      </c>
      <c r="F10" s="18" t="s">
        <v>189</v>
      </c>
      <c r="G10" s="18"/>
    </row>
    <row r="11" customFormat="false" ht="15" hidden="false" customHeight="false" outlineLevel="0" collapsed="false">
      <c r="A11" s="4" t="n">
        <v>46430</v>
      </c>
      <c r="B11" s="4" t="n">
        <v>46439</v>
      </c>
      <c r="C11" s="18" t="s">
        <v>193</v>
      </c>
      <c r="D11" s="18" t="n">
        <v>1</v>
      </c>
      <c r="E11" s="18" t="n">
        <v>0</v>
      </c>
      <c r="F11" s="18" t="s">
        <v>189</v>
      </c>
      <c r="G11" s="18" t="s">
        <v>194</v>
      </c>
    </row>
    <row r="12" customFormat="false" ht="15" hidden="false" customHeight="false" outlineLevel="0" collapsed="false">
      <c r="A12" s="4" t="n">
        <v>46479</v>
      </c>
      <c r="B12" s="4" t="n">
        <v>46479</v>
      </c>
      <c r="C12" s="18" t="s">
        <v>195</v>
      </c>
      <c r="D12" s="18" t="n">
        <v>0</v>
      </c>
      <c r="E12" s="18" t="n">
        <v>1</v>
      </c>
      <c r="F12" s="18" t="s">
        <v>186</v>
      </c>
      <c r="G12" s="18" t="s">
        <v>187</v>
      </c>
    </row>
    <row r="13" customFormat="false" ht="15" hidden="false" customHeight="false" outlineLevel="0" collapsed="false">
      <c r="A13" s="5" t="n">
        <f aca="false">Panel!B5-1</f>
        <v>46521</v>
      </c>
      <c r="B13" s="5" t="n">
        <f aca="false">Panel!B5+60</f>
        <v>46582</v>
      </c>
      <c r="C13" s="22" t="s">
        <v>196</v>
      </c>
      <c r="D13" s="22" t="n">
        <v>1</v>
      </c>
      <c r="E13" s="22" t="n">
        <v>0</v>
      </c>
      <c r="F13" s="22" t="s">
        <v>197</v>
      </c>
      <c r="G13" s="22" t="s">
        <v>198</v>
      </c>
    </row>
    <row r="14" customFormat="false" ht="15" hidden="false" customHeight="false" outlineLevel="0" collapsed="false">
      <c r="A14" s="4"/>
      <c r="B14" s="4"/>
      <c r="C14" s="18"/>
      <c r="D14" s="18"/>
      <c r="E14" s="18"/>
      <c r="F14" s="18"/>
      <c r="G14" s="18"/>
    </row>
    <row r="15" customFormat="false" ht="15" hidden="false" customHeight="false" outlineLevel="0" collapsed="false">
      <c r="A15" s="4"/>
      <c r="B15" s="4"/>
      <c r="C15" s="18"/>
      <c r="D15" s="18"/>
      <c r="E15" s="18"/>
      <c r="F15" s="18"/>
      <c r="G15" s="18"/>
    </row>
    <row r="16" customFormat="false" ht="15" hidden="false" customHeight="false" outlineLevel="0" collapsed="false">
      <c r="A16" s="4"/>
      <c r="B16" s="4"/>
      <c r="C16" s="18"/>
      <c r="D16" s="18"/>
      <c r="E16" s="18"/>
      <c r="F16" s="18"/>
      <c r="G16" s="18"/>
    </row>
    <row r="17" customFormat="false" ht="15" hidden="false" customHeight="false" outlineLevel="0" collapsed="false">
      <c r="A17" s="4"/>
      <c r="B17" s="4"/>
      <c r="C17" s="18"/>
      <c r="D17" s="18"/>
      <c r="E17" s="18"/>
      <c r="F17" s="18"/>
      <c r="G17" s="18"/>
    </row>
    <row r="18" customFormat="false" ht="15" hidden="false" customHeight="false" outlineLevel="0" collapsed="false">
      <c r="A18" s="4"/>
      <c r="B18" s="4"/>
      <c r="C18" s="18"/>
      <c r="D18" s="18"/>
      <c r="E18" s="18"/>
      <c r="F18" s="18"/>
      <c r="G18" s="18"/>
    </row>
    <row r="19" customFormat="false" ht="15" hidden="false" customHeight="false" outlineLevel="0" collapsed="false">
      <c r="A19" s="4"/>
      <c r="B19" s="4"/>
      <c r="C19" s="18"/>
      <c r="D19" s="18"/>
      <c r="E19" s="18"/>
      <c r="F19" s="18"/>
      <c r="G19" s="18"/>
    </row>
    <row r="20" customFormat="false" ht="15" hidden="false" customHeight="false" outlineLevel="0" collapsed="false">
      <c r="A20" s="4"/>
      <c r="B20" s="4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4"/>
      <c r="B21" s="4"/>
      <c r="C21" s="18"/>
      <c r="D21" s="18"/>
      <c r="E21" s="18"/>
      <c r="F21" s="18"/>
      <c r="G21" s="18"/>
    </row>
    <row r="22" customFormat="false" ht="15" hidden="false" customHeight="false" outlineLevel="0" collapsed="false">
      <c r="A22" s="4"/>
      <c r="B22" s="4"/>
      <c r="C22" s="18"/>
      <c r="D22" s="18"/>
      <c r="E22" s="18"/>
      <c r="F22" s="18"/>
      <c r="G22" s="18"/>
    </row>
    <row r="23" customFormat="false" ht="15" hidden="false" customHeight="false" outlineLevel="0" collapsed="false">
      <c r="A23" s="4"/>
      <c r="B23" s="4"/>
      <c r="C23" s="18"/>
      <c r="D23" s="18"/>
      <c r="E23" s="18"/>
      <c r="F23" s="18"/>
      <c r="G23" s="18"/>
    </row>
    <row r="24" customFormat="false" ht="15" hidden="false" customHeight="false" outlineLevel="0" collapsed="false">
      <c r="A24" s="4"/>
      <c r="B24" s="4"/>
      <c r="C24" s="18"/>
      <c r="D24" s="18"/>
      <c r="E24" s="18"/>
      <c r="F24" s="18"/>
      <c r="G24" s="18"/>
    </row>
    <row r="25" customFormat="false" ht="15" hidden="false" customHeight="false" outlineLevel="0" collapsed="false">
      <c r="A25" s="4"/>
      <c r="B25" s="4"/>
      <c r="C25" s="18"/>
      <c r="D25" s="18"/>
      <c r="E25" s="18"/>
      <c r="F25" s="18"/>
      <c r="G25" s="18"/>
    </row>
    <row r="26" customFormat="false" ht="15" hidden="false" customHeight="false" outlineLevel="0" collapsed="false">
      <c r="A26" s="4"/>
      <c r="B26" s="4"/>
      <c r="C26" s="18"/>
      <c r="D26" s="18"/>
      <c r="E26" s="18"/>
      <c r="F26" s="18"/>
      <c r="G26" s="18"/>
    </row>
    <row r="27" customFormat="false" ht="15" hidden="false" customHeight="false" outlineLevel="0" collapsed="false">
      <c r="A27" s="4"/>
      <c r="B27" s="4"/>
      <c r="C27" s="18"/>
      <c r="D27" s="18"/>
      <c r="E27" s="18"/>
      <c r="F27" s="18"/>
      <c r="G27" s="18"/>
    </row>
    <row r="28" customFormat="false" ht="15" hidden="false" customHeight="false" outlineLevel="0" collapsed="false">
      <c r="A28" s="4"/>
      <c r="B28" s="4"/>
      <c r="C28" s="18"/>
      <c r="D28" s="18"/>
      <c r="E28" s="18"/>
      <c r="F28" s="18"/>
      <c r="G28" s="18"/>
    </row>
    <row r="29" customFormat="false" ht="15" hidden="false" customHeight="false" outlineLevel="0" collapsed="false">
      <c r="A29" s="4"/>
      <c r="B29" s="4"/>
      <c r="C29" s="18"/>
      <c r="D29" s="18"/>
      <c r="E29" s="18"/>
      <c r="F29" s="18"/>
      <c r="G29" s="18"/>
    </row>
    <row r="30" customFormat="false" ht="15" hidden="false" customHeight="false" outlineLevel="0" collapsed="false">
      <c r="A30" s="4"/>
      <c r="B30" s="4"/>
      <c r="C30" s="18"/>
      <c r="D30" s="18"/>
      <c r="E30" s="18"/>
      <c r="F30" s="18"/>
      <c r="G30" s="18"/>
    </row>
    <row r="31" customFormat="false" ht="15" hidden="false" customHeight="false" outlineLevel="0" collapsed="false">
      <c r="A31" s="4"/>
      <c r="B31" s="4"/>
      <c r="C31" s="18"/>
      <c r="D31" s="18"/>
      <c r="E31" s="18"/>
      <c r="F31" s="18"/>
      <c r="G31" s="18"/>
    </row>
    <row r="32" customFormat="false" ht="15" hidden="false" customHeight="false" outlineLevel="0" collapsed="false">
      <c r="A32" s="4"/>
      <c r="B32" s="4"/>
      <c r="C32" s="18"/>
      <c r="D32" s="18"/>
      <c r="E32" s="18"/>
      <c r="F32" s="18"/>
      <c r="G32" s="18"/>
    </row>
    <row r="33" customFormat="false" ht="15" hidden="false" customHeight="false" outlineLevel="0" collapsed="false">
      <c r="A33" s="4"/>
      <c r="B33" s="4"/>
      <c r="C33" s="18"/>
      <c r="D33" s="18"/>
      <c r="E33" s="18"/>
      <c r="F33" s="18"/>
      <c r="G33" s="18"/>
    </row>
    <row r="34" customFormat="false" ht="15" hidden="false" customHeight="false" outlineLevel="0" collapsed="false">
      <c r="A34" s="4"/>
      <c r="B34" s="4"/>
      <c r="C34" s="18"/>
      <c r="D34" s="18"/>
      <c r="E34" s="18"/>
      <c r="F34" s="18"/>
      <c r="G34" s="18"/>
    </row>
    <row r="35" customFormat="false" ht="15" hidden="false" customHeight="false" outlineLevel="0" collapsed="false">
      <c r="A35" s="4"/>
      <c r="B35" s="4"/>
      <c r="C35" s="18"/>
      <c r="D35" s="18"/>
      <c r="E35" s="18"/>
      <c r="F35" s="18"/>
      <c r="G35" s="18"/>
    </row>
    <row r="36" customFormat="false" ht="15" hidden="false" customHeight="false" outlineLevel="0" collapsed="false">
      <c r="A36" s="4"/>
      <c r="B36" s="4"/>
      <c r="C36" s="18"/>
      <c r="D36" s="18"/>
      <c r="E36" s="18"/>
      <c r="F36" s="18"/>
      <c r="G36" s="18"/>
    </row>
    <row r="37" customFormat="false" ht="15" hidden="false" customHeight="false" outlineLevel="0" collapsed="false">
      <c r="A37" s="4"/>
      <c r="B37" s="4"/>
      <c r="C37" s="18"/>
      <c r="D37" s="18"/>
      <c r="E37" s="18"/>
      <c r="F37" s="18"/>
      <c r="G37" s="18"/>
    </row>
    <row r="38" customFormat="false" ht="15" hidden="false" customHeight="false" outlineLevel="0" collapsed="false">
      <c r="A38" s="4"/>
      <c r="B38" s="4"/>
      <c r="C38" s="18"/>
      <c r="D38" s="18"/>
      <c r="E38" s="18"/>
      <c r="F38" s="18"/>
      <c r="G38" s="18"/>
    </row>
    <row r="39" customFormat="false" ht="15" hidden="false" customHeight="false" outlineLevel="0" collapsed="false">
      <c r="A39" s="4"/>
      <c r="B39" s="4"/>
      <c r="C39" s="18"/>
      <c r="D39" s="18"/>
      <c r="E39" s="18"/>
      <c r="F39" s="18"/>
      <c r="G39" s="18"/>
    </row>
    <row r="40" customFormat="false" ht="15" hidden="false" customHeight="false" outlineLevel="0" collapsed="false">
      <c r="A40" s="4"/>
      <c r="B40" s="4"/>
      <c r="C40" s="18"/>
      <c r="D40" s="18"/>
      <c r="E40" s="18"/>
      <c r="F40" s="18"/>
      <c r="G40" s="18"/>
    </row>
  </sheetData>
  <dataValidations count="3">
    <dataValidation allowBlank="true" errorStyle="stop" operator="between" showDropDown="false" showErrorMessage="false" showInputMessage="false" sqref="D5:D40" type="decimal">
      <formula1>0</formula1>
      <formula2>1</formula2>
    </dataValidation>
    <dataValidation allowBlank="true" errorStyle="stop" operator="between" showDropDown="false" showErrorMessage="false" showInputMessage="false" sqref="E5:E40" type="decimal">
      <formula1>0</formula1>
      <formula2>3</formula2>
    </dataValidation>
    <dataValidation allowBlank="true" errorStyle="stop" operator="between" showDropDown="false" showErrorMessage="false" showInputMessage="false" sqref="F5:F40" type="list">
      <formula1>"Confirmado,Supuesto,Confirmar,Automático"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64"/>
    <col collapsed="false" customWidth="true" hidden="false" outlineLevel="0" max="6" min="6" style="0" width="26"/>
  </cols>
  <sheetData>
    <row r="1" customFormat="false" ht="17.3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4" customFormat="false" ht="15" hidden="false" customHeight="false" outlineLevel="0" collapsed="false">
      <c r="A4" s="15" t="s">
        <v>41</v>
      </c>
      <c r="B4" s="15" t="s">
        <v>114</v>
      </c>
      <c r="C4" s="15" t="s">
        <v>201</v>
      </c>
      <c r="D4" s="15" t="s">
        <v>42</v>
      </c>
      <c r="E4" s="15" t="s">
        <v>202</v>
      </c>
      <c r="F4" s="15" t="s">
        <v>203</v>
      </c>
    </row>
    <row r="5" customFormat="false" ht="15" hidden="false" customHeight="false" outlineLevel="0" collapsed="false">
      <c r="A5" s="32" t="s">
        <v>204</v>
      </c>
      <c r="B5" s="25" t="n">
        <v>1</v>
      </c>
      <c r="C5" s="32" t="s">
        <v>205</v>
      </c>
      <c r="D5" s="32" t="s">
        <v>206</v>
      </c>
      <c r="E5" s="32" t="s">
        <v>207</v>
      </c>
      <c r="F5" s="32" t="s">
        <v>208</v>
      </c>
    </row>
    <row r="6" customFormat="false" ht="15" hidden="false" customHeight="false" outlineLevel="0" collapsed="false">
      <c r="A6" s="32" t="s">
        <v>209</v>
      </c>
      <c r="B6" s="25" t="n">
        <v>1</v>
      </c>
      <c r="C6" s="32" t="s">
        <v>205</v>
      </c>
      <c r="D6" s="32" t="s">
        <v>206</v>
      </c>
      <c r="E6" s="32" t="s">
        <v>210</v>
      </c>
      <c r="F6" s="32" t="s">
        <v>211</v>
      </c>
    </row>
    <row r="7" customFormat="false" ht="15" hidden="false" customHeight="false" outlineLevel="0" collapsed="false">
      <c r="A7" s="32" t="s">
        <v>212</v>
      </c>
      <c r="B7" s="25" t="n">
        <v>1</v>
      </c>
      <c r="C7" s="32" t="s">
        <v>205</v>
      </c>
      <c r="D7" s="32" t="s">
        <v>213</v>
      </c>
      <c r="E7" s="32" t="s">
        <v>214</v>
      </c>
      <c r="F7" s="32" t="s">
        <v>211</v>
      </c>
    </row>
    <row r="8" customFormat="false" ht="15" hidden="false" customHeight="false" outlineLevel="0" collapsed="false">
      <c r="A8" s="32" t="s">
        <v>215</v>
      </c>
      <c r="B8" s="25" t="n">
        <v>1</v>
      </c>
      <c r="C8" s="32" t="s">
        <v>205</v>
      </c>
      <c r="D8" s="32" t="s">
        <v>213</v>
      </c>
      <c r="E8" s="32" t="s">
        <v>216</v>
      </c>
      <c r="F8" s="32" t="s">
        <v>211</v>
      </c>
    </row>
    <row r="9" customFormat="false" ht="15" hidden="false" customHeight="false" outlineLevel="0" collapsed="false">
      <c r="A9" s="32" t="s">
        <v>217</v>
      </c>
      <c r="B9" s="25" t="n">
        <v>2</v>
      </c>
      <c r="C9" s="32" t="s">
        <v>218</v>
      </c>
      <c r="D9" s="32" t="s">
        <v>219</v>
      </c>
      <c r="E9" s="32" t="s">
        <v>220</v>
      </c>
      <c r="F9" s="32" t="s">
        <v>211</v>
      </c>
    </row>
    <row r="10" customFormat="false" ht="15" hidden="false" customHeight="false" outlineLevel="0" collapsed="false">
      <c r="A10" s="32" t="s">
        <v>221</v>
      </c>
      <c r="B10" s="25" t="n">
        <v>2</v>
      </c>
      <c r="C10" s="32" t="s">
        <v>222</v>
      </c>
      <c r="D10" s="32" t="s">
        <v>223</v>
      </c>
      <c r="E10" s="32" t="s">
        <v>224</v>
      </c>
      <c r="F10" s="32" t="s">
        <v>225</v>
      </c>
    </row>
    <row r="11" customFormat="false" ht="23.85" hidden="false" customHeight="false" outlineLevel="0" collapsed="false">
      <c r="A11" s="32" t="s">
        <v>226</v>
      </c>
      <c r="B11" s="25" t="n">
        <v>2</v>
      </c>
      <c r="C11" s="32" t="s">
        <v>227</v>
      </c>
      <c r="D11" s="32" t="s">
        <v>228</v>
      </c>
      <c r="E11" s="32" t="s">
        <v>229</v>
      </c>
      <c r="F11" s="32" t="s">
        <v>211</v>
      </c>
    </row>
    <row r="12" customFormat="false" ht="15" hidden="false" customHeight="false" outlineLevel="0" collapsed="false">
      <c r="A12" s="3" t="s">
        <v>107</v>
      </c>
      <c r="B12" s="3" t="n">
        <f aca="false">SUM(B5:B11)</f>
        <v>10</v>
      </c>
    </row>
    <row r="14" customFormat="false" ht="15" hidden="false" customHeight="false" outlineLevel="0" collapsed="false">
      <c r="A14" s="9" t="s">
        <v>230</v>
      </c>
    </row>
    <row r="15" customFormat="false" ht="31.5" hidden="false" customHeight="true" outlineLevel="0" collapsed="false">
      <c r="A15" s="33" t="s">
        <v>231</v>
      </c>
      <c r="B15" s="32" t="s">
        <v>232</v>
      </c>
      <c r="C15" s="32"/>
      <c r="D15" s="32"/>
      <c r="E15" s="32"/>
      <c r="F15" s="32"/>
    </row>
    <row r="16" customFormat="false" ht="31.5" hidden="false" customHeight="true" outlineLevel="0" collapsed="false">
      <c r="A16" s="33" t="s">
        <v>233</v>
      </c>
      <c r="B16" s="32" t="s">
        <v>234</v>
      </c>
      <c r="C16" s="32"/>
      <c r="D16" s="32"/>
      <c r="E16" s="32"/>
      <c r="F16" s="32"/>
    </row>
    <row r="17" customFormat="false" ht="31.5" hidden="false" customHeight="true" outlineLevel="0" collapsed="false">
      <c r="A17" s="33" t="s">
        <v>235</v>
      </c>
      <c r="B17" s="32" t="s">
        <v>236</v>
      </c>
      <c r="C17" s="32"/>
      <c r="D17" s="32"/>
      <c r="E17" s="32"/>
      <c r="F17" s="32"/>
    </row>
    <row r="18" customFormat="false" ht="31.5" hidden="false" customHeight="true" outlineLevel="0" collapsed="false">
      <c r="A18" s="33" t="s">
        <v>237</v>
      </c>
      <c r="B18" s="32" t="s">
        <v>238</v>
      </c>
      <c r="C18" s="32"/>
      <c r="D18" s="32"/>
      <c r="E18" s="32"/>
      <c r="F18" s="32"/>
    </row>
    <row r="19" customFormat="false" ht="31.5" hidden="false" customHeight="true" outlineLevel="0" collapsed="false">
      <c r="A19" s="33" t="s">
        <v>239</v>
      </c>
      <c r="B19" s="32" t="s">
        <v>240</v>
      </c>
      <c r="C19" s="32"/>
      <c r="D19" s="32"/>
      <c r="E19" s="32"/>
      <c r="F19" s="32"/>
    </row>
    <row r="21" customFormat="false" ht="15" hidden="false" customHeight="false" outlineLevel="0" collapsed="false">
      <c r="A21" s="2" t="s">
        <v>241</v>
      </c>
    </row>
  </sheetData>
  <mergeCells count="5">
    <mergeCell ref="B15:F15"/>
    <mergeCell ref="B16:F16"/>
    <mergeCell ref="B17:F17"/>
    <mergeCell ref="B18:F18"/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2" min="2" style="0" width="1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242</v>
      </c>
    </row>
    <row r="2" customFormat="false" ht="15" hidden="false" customHeight="false" outlineLevel="0" collapsed="false">
      <c r="A2" s="2" t="s">
        <v>243</v>
      </c>
    </row>
    <row r="4" customFormat="false" ht="15" hidden="false" customHeight="false" outlineLevel="0" collapsed="false">
      <c r="A4" s="15" t="s">
        <v>244</v>
      </c>
      <c r="B4" s="15" t="s">
        <v>245</v>
      </c>
      <c r="C4" s="15" t="s">
        <v>51</v>
      </c>
    </row>
    <row r="5" customFormat="false" ht="15" hidden="false" customHeight="false" outlineLevel="0" collapsed="false">
      <c r="A5" s="32" t="s">
        <v>246</v>
      </c>
      <c r="B5" s="18" t="s">
        <v>71</v>
      </c>
      <c r="C5" s="32" t="s">
        <v>247</v>
      </c>
    </row>
    <row r="6" customFormat="false" ht="23.85" hidden="false" customHeight="false" outlineLevel="0" collapsed="false">
      <c r="A6" s="32" t="s">
        <v>248</v>
      </c>
      <c r="B6" s="18" t="s">
        <v>71</v>
      </c>
      <c r="C6" s="32" t="s">
        <v>249</v>
      </c>
    </row>
    <row r="7" customFormat="false" ht="15" hidden="false" customHeight="false" outlineLevel="0" collapsed="false">
      <c r="A7" s="32" t="s">
        <v>250</v>
      </c>
      <c r="B7" s="18" t="s">
        <v>71</v>
      </c>
      <c r="C7" s="32" t="s">
        <v>251</v>
      </c>
    </row>
    <row r="8" customFormat="false" ht="15" hidden="false" customHeight="false" outlineLevel="0" collapsed="false">
      <c r="A8" s="32" t="s">
        <v>252</v>
      </c>
      <c r="B8" s="18" t="s">
        <v>71</v>
      </c>
      <c r="C8" s="32"/>
    </row>
    <row r="9" customFormat="false" ht="15" hidden="false" customHeight="false" outlineLevel="0" collapsed="false">
      <c r="A9" s="32" t="s">
        <v>253</v>
      </c>
      <c r="B9" s="18" t="s">
        <v>71</v>
      </c>
      <c r="C9" s="32"/>
    </row>
    <row r="10" customFormat="false" ht="15" hidden="false" customHeight="false" outlineLevel="0" collapsed="false">
      <c r="A10" s="32" t="s">
        <v>254</v>
      </c>
      <c r="B10" s="18" t="s">
        <v>71</v>
      </c>
      <c r="C10" s="32" t="s">
        <v>255</v>
      </c>
    </row>
    <row r="11" customFormat="false" ht="15" hidden="false" customHeight="false" outlineLevel="0" collapsed="false">
      <c r="A11" s="32" t="s">
        <v>256</v>
      </c>
      <c r="B11" s="18" t="s">
        <v>71</v>
      </c>
      <c r="C11" s="32"/>
    </row>
    <row r="12" customFormat="false" ht="15" hidden="false" customHeight="false" outlineLevel="0" collapsed="false">
      <c r="A12" s="32" t="s">
        <v>257</v>
      </c>
      <c r="B12" s="18" t="s">
        <v>71</v>
      </c>
      <c r="C12" s="32"/>
    </row>
    <row r="13" customFormat="false" ht="15" hidden="false" customHeight="false" outlineLevel="0" collapsed="false">
      <c r="A13" s="32" t="s">
        <v>258</v>
      </c>
      <c r="B13" s="18" t="s">
        <v>71</v>
      </c>
      <c r="C13" s="32" t="s">
        <v>259</v>
      </c>
    </row>
    <row r="14" customFormat="false" ht="15" hidden="false" customHeight="false" outlineLevel="0" collapsed="false">
      <c r="A14" s="32" t="s">
        <v>260</v>
      </c>
      <c r="B14" s="18" t="s">
        <v>71</v>
      </c>
      <c r="C14" s="32" t="s">
        <v>261</v>
      </c>
    </row>
    <row r="16" customFormat="false" ht="15" hidden="false" customHeight="false" outlineLevel="0" collapsed="false">
      <c r="A16" s="3" t="s">
        <v>262</v>
      </c>
      <c r="B16" s="12" t="n">
        <f aca="false">COUNTIF(B5:B14,"Sí")/COUNTA(A5:A14)</f>
        <v>0</v>
      </c>
    </row>
  </sheetData>
  <dataValidations count="1">
    <dataValidation allowBlank="true" errorStyle="stop" operator="between" showDropDown="false" showErrorMessage="false" showInputMessage="false" sqref="B5:B1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263</v>
      </c>
    </row>
    <row r="3" customFormat="false" ht="15" hidden="false" customHeight="false" outlineLevel="0" collapsed="false">
      <c r="A3" s="16" t="s">
        <v>264</v>
      </c>
      <c r="B3" s="34" t="s">
        <v>265</v>
      </c>
    </row>
    <row r="4" customFormat="false" ht="15" hidden="false" customHeight="false" outlineLevel="0" collapsed="false">
      <c r="A4" s="16"/>
      <c r="B4" s="34" t="s">
        <v>266</v>
      </c>
    </row>
    <row r="5" customFormat="false" ht="15" hidden="false" customHeight="false" outlineLevel="0" collapsed="false">
      <c r="A5" s="16"/>
      <c r="B5" s="34" t="s">
        <v>267</v>
      </c>
    </row>
    <row r="6" customFormat="false" ht="23.85" hidden="false" customHeight="false" outlineLevel="0" collapsed="false">
      <c r="A6" s="16" t="s">
        <v>268</v>
      </c>
      <c r="B6" s="34" t="s">
        <v>269</v>
      </c>
    </row>
    <row r="7" customFormat="false" ht="15" hidden="false" customHeight="false" outlineLevel="0" collapsed="false">
      <c r="A7" s="16" t="s">
        <v>270</v>
      </c>
      <c r="B7" s="34"/>
    </row>
    <row r="8" customFormat="false" ht="15" hidden="false" customHeight="false" outlineLevel="0" collapsed="false">
      <c r="A8" s="16" t="s">
        <v>271</v>
      </c>
      <c r="B8" s="34" t="s">
        <v>272</v>
      </c>
    </row>
    <row r="9" customFormat="false" ht="15" hidden="false" customHeight="false" outlineLevel="0" collapsed="false">
      <c r="A9" s="16" t="s">
        <v>273</v>
      </c>
      <c r="B9" s="34" t="s">
        <v>274</v>
      </c>
    </row>
    <row r="10" customFormat="false" ht="15" hidden="false" customHeight="false" outlineLevel="0" collapsed="false">
      <c r="A10" s="16" t="s">
        <v>275</v>
      </c>
      <c r="B10" s="34" t="s">
        <v>276</v>
      </c>
    </row>
    <row r="11" customFormat="false" ht="15" hidden="false" customHeight="false" outlineLevel="0" collapsed="false">
      <c r="A11" s="16" t="s">
        <v>277</v>
      </c>
      <c r="B11" s="34" t="s">
        <v>278</v>
      </c>
    </row>
    <row r="12" customFormat="false" ht="15" hidden="false" customHeight="false" outlineLevel="0" collapsed="false">
      <c r="A12" s="16" t="s">
        <v>279</v>
      </c>
      <c r="B12" s="34" t="s">
        <v>280</v>
      </c>
    </row>
    <row r="13" customFormat="false" ht="15" hidden="false" customHeight="false" outlineLevel="0" collapsed="false">
      <c r="A13" s="16" t="s">
        <v>281</v>
      </c>
      <c r="B13" s="34" t="s">
        <v>282</v>
      </c>
    </row>
    <row r="14" customFormat="false" ht="15" hidden="false" customHeight="false" outlineLevel="0" collapsed="false">
      <c r="A14" s="16" t="s">
        <v>283</v>
      </c>
      <c r="B14" s="34" t="s">
        <v>284</v>
      </c>
    </row>
    <row r="15" customFormat="false" ht="15" hidden="false" customHeight="false" outlineLevel="0" collapsed="false">
      <c r="A15" s="16" t="s">
        <v>285</v>
      </c>
      <c r="B15" s="34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2026-10-26T10:44:45Z</dcterms:created>
  <dc:creator>openpyxl</dc:creator>
  <dc:description/>
  <dc:language>en-US</dc:language>
  <cp:lastModifiedBy/>
  <dcterms:modified xsi:type="dcterms:W3CDTF">2026-10-26T10:44:48Z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